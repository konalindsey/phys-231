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</sheets>
  <definedNames/>
  <calcPr/>
  <extLst>
    <ext uri="GoogleSheetsCustomDataVersion1">
      <go:sheetsCustomData xmlns:go="http://customooxmlschemas.google.com/" r:id="rId13" roundtripDataSignature="AMtx7miW16iVbXBhHPKT5Sg6cZY5w6V/kg=="/>
    </ext>
  </extLst>
</workbook>
</file>

<file path=xl/sharedStrings.xml><?xml version="1.0" encoding="utf-8"?>
<sst xmlns="http://schemas.openxmlformats.org/spreadsheetml/2006/main" count="130" uniqueCount="21">
  <si>
    <t>f</t>
  </si>
  <si>
    <t>N_x</t>
  </si>
  <si>
    <t>N_y</t>
  </si>
  <si>
    <t xml:space="preserve">N_z </t>
  </si>
  <si>
    <t>x</t>
  </si>
  <si>
    <t>y</t>
  </si>
  <si>
    <t>z</t>
  </si>
  <si>
    <t>T in C</t>
  </si>
  <si>
    <t>v (m/s)</t>
  </si>
  <si>
    <t>f_h</t>
  </si>
  <si>
    <t>N_hx</t>
  </si>
  <si>
    <t>N_hy</t>
  </si>
  <si>
    <t>N_hz</t>
  </si>
  <si>
    <t>v_h (m/s)</t>
  </si>
  <si>
    <t>Uncertainty in the caliper for x and y was 0.01 mm</t>
  </si>
  <si>
    <t>uncertainty for the ruler should be 0.5 mm</t>
  </si>
  <si>
    <t>uncertainty of the frequency should be 0.01</t>
  </si>
  <si>
    <t>N_z</t>
  </si>
  <si>
    <t xml:space="preserve">* box three in helium was very inconsistanr readings on the osciliscope. </t>
  </si>
  <si>
    <t xml:space="preserve">*no input tube for the helium 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</si>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</sst>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</font>
    <font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7</v>
      </c>
      <c r="P1" s="1" t="s">
        <v>13</v>
      </c>
    </row>
    <row r="2" ht="15.75" customHeight="1">
      <c r="A2" s="1">
        <v>1469.6</v>
      </c>
      <c r="B2" s="1">
        <v>0.0</v>
      </c>
      <c r="C2" s="1">
        <v>1.0</v>
      </c>
      <c r="D2" s="1">
        <v>1.0</v>
      </c>
      <c r="E2" s="1">
        <v>163.75</v>
      </c>
      <c r="F2" s="1">
        <v>117.11</v>
      </c>
      <c r="G2" s="1">
        <v>26.0</v>
      </c>
      <c r="H2" s="1">
        <v>31.7</v>
      </c>
      <c r="I2" s="1">
        <f>2*A2*((1/(((B2^2)/((E2/1000)^2))+((C2^2)/((F2/1000)^2))+((D2^2)/(G2/100)^2)))^0.5)</f>
        <v>313.8425304</v>
      </c>
      <c r="K2" s="1">
        <v>1034.95</v>
      </c>
      <c r="L2" s="1">
        <v>1.0</v>
      </c>
      <c r="M2" s="1">
        <v>0.0</v>
      </c>
      <c r="N2" s="2">
        <v>0.0</v>
      </c>
      <c r="O2" s="1">
        <v>27.2</v>
      </c>
      <c r="P2" s="1">
        <f t="shared" ref="P2:P7" si="1">2*K2*(1/(((L2^2)/((E2/1000)^2))+((M2^2)/((F2/1000)^2))+((N2^2)/(G2/100)^2)))^0.5</f>
        <v>338.946125</v>
      </c>
    </row>
    <row r="3" ht="15.75" customHeight="1">
      <c r="A3" s="1">
        <v>2563.2</v>
      </c>
      <c r="B3" s="1">
        <v>2.0</v>
      </c>
      <c r="C3" s="1">
        <v>1.0</v>
      </c>
      <c r="D3" s="1">
        <v>1.0</v>
      </c>
      <c r="E3" s="1">
        <v>163.75</v>
      </c>
      <c r="F3" s="1">
        <v>117.11</v>
      </c>
      <c r="G3" s="1">
        <v>26.0</v>
      </c>
      <c r="I3" s="1">
        <f t="shared" ref="I3:I7" si="2">2*A3*(1/(((B3^2)/((E3/1000)^2))+((C3^2)/((F3/1000)^2))+((D3^2)/(G3/100)^2)))^0.5</f>
        <v>333.0780107</v>
      </c>
      <c r="K3" s="1">
        <v>2546.4</v>
      </c>
      <c r="L3" s="1">
        <v>1.0</v>
      </c>
      <c r="M3" s="1">
        <v>0.0</v>
      </c>
      <c r="N3" s="2">
        <v>0.0</v>
      </c>
      <c r="P3" s="1">
        <f t="shared" si="1"/>
        <v>833.946</v>
      </c>
    </row>
    <row r="4" ht="15.75" customHeight="1">
      <c r="A4" s="1">
        <v>3642.0</v>
      </c>
      <c r="B4" s="1">
        <v>2.0</v>
      </c>
      <c r="C4" s="1">
        <v>2.0</v>
      </c>
      <c r="D4" s="1">
        <v>1.0</v>
      </c>
      <c r="E4" s="1">
        <v>163.75</v>
      </c>
      <c r="F4" s="1">
        <v>117.11</v>
      </c>
      <c r="G4" s="1">
        <v>26.0</v>
      </c>
      <c r="I4" s="1">
        <f t="shared" si="2"/>
        <v>341.2448572</v>
      </c>
      <c r="K4" s="1">
        <v>3079.3</v>
      </c>
      <c r="L4" s="1">
        <v>1.0</v>
      </c>
      <c r="M4" s="1">
        <v>0.0</v>
      </c>
      <c r="N4" s="2">
        <v>0.0</v>
      </c>
      <c r="P4" s="1">
        <f t="shared" si="1"/>
        <v>1008.47075</v>
      </c>
    </row>
    <row r="5" ht="15.75" customHeight="1">
      <c r="A5" s="1">
        <v>4542.5</v>
      </c>
      <c r="B5" s="1">
        <v>1.0</v>
      </c>
      <c r="C5" s="1">
        <v>3.0</v>
      </c>
      <c r="D5" s="1">
        <v>2.0</v>
      </c>
      <c r="E5" s="1">
        <v>163.75</v>
      </c>
      <c r="F5" s="1">
        <v>117.11</v>
      </c>
      <c r="G5" s="1">
        <v>26.0</v>
      </c>
      <c r="I5" s="1">
        <f t="shared" si="2"/>
        <v>331.1432838</v>
      </c>
      <c r="K5" s="1">
        <v>4254.5</v>
      </c>
      <c r="L5" s="1">
        <v>0.0</v>
      </c>
      <c r="M5" s="1">
        <v>1.0</v>
      </c>
      <c r="N5" s="2">
        <v>0.0</v>
      </c>
      <c r="P5" s="1">
        <f t="shared" si="1"/>
        <v>996.48899</v>
      </c>
    </row>
    <row r="6" ht="15.75" customHeight="1">
      <c r="A6" s="1">
        <v>5171.6</v>
      </c>
      <c r="B6" s="1">
        <v>4.0</v>
      </c>
      <c r="C6" s="1">
        <v>2.0</v>
      </c>
      <c r="D6" s="1">
        <v>2.0</v>
      </c>
      <c r="E6" s="1">
        <v>163.75</v>
      </c>
      <c r="F6" s="1">
        <v>117.11</v>
      </c>
      <c r="G6" s="1">
        <v>26.0</v>
      </c>
      <c r="I6" s="1">
        <f t="shared" si="2"/>
        <v>336.0147941</v>
      </c>
      <c r="K6" s="1">
        <v>5236.1</v>
      </c>
      <c r="L6" s="1">
        <v>1.0</v>
      </c>
      <c r="M6" s="1">
        <v>1.0</v>
      </c>
      <c r="N6" s="2">
        <v>0.0</v>
      </c>
      <c r="P6" s="1">
        <f t="shared" si="1"/>
        <v>997.5421761</v>
      </c>
    </row>
    <row r="7" ht="15.75" customHeight="1">
      <c r="A7" s="1">
        <v>6348.9</v>
      </c>
      <c r="B7" s="1">
        <v>6.0</v>
      </c>
      <c r="C7" s="1">
        <v>0.0</v>
      </c>
      <c r="D7" s="1">
        <v>3.0</v>
      </c>
      <c r="E7" s="1">
        <v>163.75</v>
      </c>
      <c r="F7" s="1">
        <v>117.11</v>
      </c>
      <c r="G7" s="1">
        <v>26.0</v>
      </c>
      <c r="I7" s="1">
        <f t="shared" si="2"/>
        <v>330.5424237</v>
      </c>
      <c r="K7" s="1">
        <v>6149.8</v>
      </c>
      <c r="L7" s="1">
        <v>2.0</v>
      </c>
      <c r="M7" s="1">
        <v>0.0</v>
      </c>
      <c r="N7" s="2">
        <v>0.0</v>
      </c>
      <c r="P7" s="1">
        <f t="shared" si="1"/>
        <v>1007.02975</v>
      </c>
    </row>
    <row r="8" ht="15.75" customHeight="1"/>
    <row r="9" ht="15.75" customHeight="1"/>
    <row r="10" ht="15.75" customHeight="1">
      <c r="A10" s="1" t="s">
        <v>14</v>
      </c>
    </row>
    <row r="11" ht="15.75" customHeight="1">
      <c r="A11" s="1" t="s">
        <v>15</v>
      </c>
    </row>
    <row r="12" ht="15.75" customHeight="1">
      <c r="A12" s="1" t="s">
        <v>16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  <c r="O1" s="1" t="s">
        <v>7</v>
      </c>
      <c r="P1" s="1" t="s">
        <v>13</v>
      </c>
    </row>
    <row r="2" ht="15.75" customHeight="1">
      <c r="A2" s="1">
        <v>1584.4</v>
      </c>
      <c r="B2" s="1">
        <v>0.0</v>
      </c>
      <c r="C2" s="1">
        <v>1.0</v>
      </c>
      <c r="D2" s="2">
        <v>0.0</v>
      </c>
      <c r="E2" s="1">
        <v>119.07</v>
      </c>
      <c r="F2" s="1">
        <v>109.4</v>
      </c>
      <c r="G2" s="1">
        <v>25.0</v>
      </c>
      <c r="H2" s="1">
        <v>29.7</v>
      </c>
      <c r="I2" s="1">
        <f t="shared" ref="I2:I7" si="1">2*A2*(1/(((B2^2)/((E2/1000)^2))+((C2^2)/((F2/1000)^2))+((D2^2)/(G2/100)^2)))^0.5</f>
        <v>346.66672</v>
      </c>
      <c r="K2" s="1">
        <v>1397.9</v>
      </c>
      <c r="L2" s="1">
        <v>1.0</v>
      </c>
      <c r="M2" s="1">
        <v>0.0</v>
      </c>
      <c r="N2" s="2">
        <v>0.0</v>
      </c>
      <c r="O2" s="1">
        <v>27.8</v>
      </c>
      <c r="P2" s="1">
        <f t="shared" ref="P2:P7" si="2">2*K2*(1/(((L2^2)/((E2/1000)^2))+((M2^2)/((F2/1000)^2))+((N2^2)/(G2/100)^2)))^0.5</f>
        <v>332.895906</v>
      </c>
    </row>
    <row r="3" ht="15.75" customHeight="1">
      <c r="A3" s="1">
        <v>2289.9</v>
      </c>
      <c r="B3" s="1">
        <v>2.0</v>
      </c>
      <c r="C3" s="1">
        <v>0.0</v>
      </c>
      <c r="D3" s="2">
        <v>0.0</v>
      </c>
      <c r="E3" s="1">
        <v>119.07</v>
      </c>
      <c r="F3" s="1">
        <v>109.4</v>
      </c>
      <c r="G3" s="1">
        <v>25.0</v>
      </c>
      <c r="I3" s="1">
        <f t="shared" si="1"/>
        <v>272.658393</v>
      </c>
      <c r="K3" s="1">
        <v>2095.2</v>
      </c>
      <c r="L3" s="1">
        <v>1.0</v>
      </c>
      <c r="M3" s="1">
        <v>1.0</v>
      </c>
      <c r="N3" s="2">
        <v>0.0</v>
      </c>
      <c r="P3" s="1">
        <f t="shared" si="2"/>
        <v>337.5765897</v>
      </c>
    </row>
    <row r="4" ht="15.75" customHeight="1">
      <c r="A4" s="1">
        <v>3307.0</v>
      </c>
      <c r="B4" s="1">
        <v>2.0</v>
      </c>
      <c r="C4" s="1">
        <v>1.0</v>
      </c>
      <c r="D4" s="2">
        <v>0.0</v>
      </c>
      <c r="E4" s="1">
        <v>119.07</v>
      </c>
      <c r="F4" s="1">
        <v>109.4</v>
      </c>
      <c r="G4" s="1">
        <v>25.0</v>
      </c>
      <c r="I4" s="1">
        <f t="shared" si="1"/>
        <v>345.8669839</v>
      </c>
      <c r="K4" s="1">
        <v>3679.8</v>
      </c>
      <c r="L4" s="1">
        <v>1.0</v>
      </c>
      <c r="M4" s="1">
        <v>1.0</v>
      </c>
      <c r="N4" s="2">
        <v>0.0</v>
      </c>
      <c r="P4" s="1">
        <f t="shared" si="2"/>
        <v>592.8858031</v>
      </c>
    </row>
    <row r="5" ht="15.75" customHeight="1">
      <c r="A5" s="1">
        <v>4649.7</v>
      </c>
      <c r="B5" s="1">
        <v>3.0</v>
      </c>
      <c r="C5" s="1">
        <v>1.0</v>
      </c>
      <c r="D5" s="2">
        <v>1.0</v>
      </c>
      <c r="E5" s="1">
        <v>119.07</v>
      </c>
      <c r="F5" s="1">
        <v>109.4</v>
      </c>
      <c r="G5" s="1">
        <v>25.0</v>
      </c>
      <c r="I5" s="1">
        <f t="shared" si="1"/>
        <v>343.1641582</v>
      </c>
      <c r="K5" s="1">
        <v>4218.2</v>
      </c>
      <c r="L5" s="1">
        <v>1.0</v>
      </c>
      <c r="M5" s="1">
        <v>0.0</v>
      </c>
      <c r="N5" s="2">
        <v>0.0</v>
      </c>
      <c r="P5" s="1">
        <f t="shared" si="2"/>
        <v>1004.522148</v>
      </c>
    </row>
    <row r="6" ht="15.75" customHeight="1">
      <c r="A6" s="1">
        <v>5363.0</v>
      </c>
      <c r="B6" s="1">
        <v>3.0</v>
      </c>
      <c r="C6" s="1">
        <v>2.0</v>
      </c>
      <c r="D6" s="2">
        <v>1.0</v>
      </c>
      <c r="E6" s="1">
        <v>119.07</v>
      </c>
      <c r="F6" s="1">
        <v>109.4</v>
      </c>
      <c r="G6" s="1">
        <v>25.0</v>
      </c>
      <c r="I6" s="1">
        <f t="shared" si="1"/>
        <v>341.7560298</v>
      </c>
      <c r="K6" s="1">
        <v>6239.4</v>
      </c>
      <c r="L6" s="1">
        <v>1.0</v>
      </c>
      <c r="M6" s="1">
        <v>1.0</v>
      </c>
      <c r="N6" s="2">
        <v>1.0</v>
      </c>
      <c r="P6" s="1">
        <f t="shared" si="2"/>
        <v>956.8351455</v>
      </c>
    </row>
    <row r="7" ht="15.75" customHeight="1">
      <c r="A7" s="1">
        <v>6303.0</v>
      </c>
      <c r="B7" s="1">
        <v>2.0</v>
      </c>
      <c r="C7" s="2">
        <v>4.0</v>
      </c>
      <c r="D7" s="2">
        <v>1.0</v>
      </c>
      <c r="E7" s="1">
        <v>119.07</v>
      </c>
      <c r="F7" s="1">
        <v>109.4</v>
      </c>
      <c r="G7" s="1">
        <v>25.0</v>
      </c>
      <c r="I7" s="1">
        <f t="shared" si="1"/>
        <v>311.759341</v>
      </c>
      <c r="K7" s="1">
        <v>8457.2</v>
      </c>
      <c r="L7" s="1">
        <v>2.0</v>
      </c>
      <c r="M7" s="1">
        <v>0.0</v>
      </c>
      <c r="N7" s="2">
        <v>1.0</v>
      </c>
      <c r="P7" s="1">
        <f t="shared" si="2"/>
        <v>979.6048137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17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3" t="s">
        <v>7</v>
      </c>
      <c r="P1" s="1" t="s">
        <v>13</v>
      </c>
    </row>
    <row r="2" ht="15.75" customHeight="1">
      <c r="A2" s="1">
        <v>1459.1</v>
      </c>
      <c r="B2" s="1">
        <v>0.0</v>
      </c>
      <c r="C2" s="1">
        <v>1.0</v>
      </c>
      <c r="D2" s="2">
        <v>0.0</v>
      </c>
      <c r="E2" s="1">
        <v>162.61</v>
      </c>
      <c r="F2" s="1">
        <v>118.57</v>
      </c>
      <c r="G2" s="1">
        <v>74.5</v>
      </c>
      <c r="H2" s="1">
        <v>30.0</v>
      </c>
      <c r="I2" s="1">
        <f t="shared" ref="I2:I8" si="1">2*A2*(1/(((B2^2)/((E2/1000)^2))+((C2^2)/((F2/1000)^2))+((D2^2)/(G2/100)^2)))^0.5</f>
        <v>346.010974</v>
      </c>
      <c r="K2" s="1">
        <v>3630.0</v>
      </c>
      <c r="L2" s="1">
        <v>2.0</v>
      </c>
      <c r="M2" s="1">
        <v>1.0</v>
      </c>
      <c r="N2" s="2">
        <v>0.0</v>
      </c>
      <c r="O2" s="1">
        <v>27.9</v>
      </c>
      <c r="P2" s="1">
        <f t="shared" ref="P2:P5" si="2">2*K2*(1/(((L2^2)/((E2/1000)^2))+((M2^2)/((F2/1000)^2))+((N2^2)/(G2/100)^2)))^0.5</f>
        <v>486.8165193</v>
      </c>
    </row>
    <row r="3" ht="15.75" customHeight="1">
      <c r="A3" s="1">
        <v>2113.6</v>
      </c>
      <c r="B3" s="1">
        <v>2.0</v>
      </c>
      <c r="C3" s="1">
        <v>0.0</v>
      </c>
      <c r="D3" s="2">
        <v>0.0</v>
      </c>
      <c r="E3" s="1">
        <v>162.61</v>
      </c>
      <c r="F3" s="1">
        <v>118.57</v>
      </c>
      <c r="G3" s="1">
        <v>74.5</v>
      </c>
      <c r="I3" s="1">
        <f t="shared" si="1"/>
        <v>343.692496</v>
      </c>
      <c r="K3" s="1">
        <v>4679.7</v>
      </c>
      <c r="L3" s="1">
        <v>1.0</v>
      </c>
      <c r="M3" s="1">
        <v>0.0</v>
      </c>
      <c r="N3" s="2">
        <v>3.0</v>
      </c>
      <c r="P3" s="1">
        <f t="shared" si="2"/>
        <v>1273.251176</v>
      </c>
    </row>
    <row r="4" ht="15.75" customHeight="1">
      <c r="A4" s="1">
        <v>3093.7</v>
      </c>
      <c r="B4" s="1">
        <v>1.0</v>
      </c>
      <c r="C4" s="1">
        <v>2.0</v>
      </c>
      <c r="D4" s="2">
        <v>1.0</v>
      </c>
      <c r="E4" s="1">
        <v>162.61</v>
      </c>
      <c r="F4" s="1">
        <v>118.57</v>
      </c>
      <c r="G4" s="1">
        <v>74.5</v>
      </c>
      <c r="I4" s="1">
        <f t="shared" si="1"/>
        <v>343.6708807</v>
      </c>
      <c r="K4" s="1">
        <v>5972.6</v>
      </c>
      <c r="L4" s="1">
        <v>1.0</v>
      </c>
      <c r="M4" s="1">
        <v>0.0</v>
      </c>
      <c r="N4" s="2">
        <v>4.0</v>
      </c>
      <c r="P4" s="1">
        <f t="shared" si="2"/>
        <v>1463.207578</v>
      </c>
    </row>
    <row r="5" ht="15.75" customHeight="1">
      <c r="A5" s="1">
        <v>4202.9</v>
      </c>
      <c r="B5" s="1">
        <v>3.0</v>
      </c>
      <c r="C5" s="1">
        <v>1.0</v>
      </c>
      <c r="D5" s="2">
        <v>1.0</v>
      </c>
      <c r="E5" s="1">
        <v>162.61</v>
      </c>
      <c r="F5" s="1">
        <v>118.57</v>
      </c>
      <c r="G5" s="1">
        <v>74.5</v>
      </c>
      <c r="I5" s="1">
        <f t="shared" si="1"/>
        <v>413.4728532</v>
      </c>
      <c r="K5" s="1">
        <v>6339.4</v>
      </c>
      <c r="L5" s="1">
        <v>1.0</v>
      </c>
      <c r="M5" s="1">
        <v>0.0</v>
      </c>
      <c r="N5" s="2">
        <v>5.0</v>
      </c>
      <c r="P5" s="1">
        <f t="shared" si="2"/>
        <v>1392.84067</v>
      </c>
    </row>
    <row r="6" ht="15.75" customHeight="1">
      <c r="A6" s="1">
        <v>5329.5</v>
      </c>
      <c r="B6" s="1">
        <v>2.0</v>
      </c>
      <c r="C6" s="1">
        <v>1.0</v>
      </c>
      <c r="D6" s="2">
        <v>4.0</v>
      </c>
      <c r="E6" s="1">
        <v>162.61</v>
      </c>
      <c r="F6" s="1">
        <v>118.57</v>
      </c>
      <c r="G6" s="1">
        <v>74.5</v>
      </c>
      <c r="I6" s="1">
        <f t="shared" si="1"/>
        <v>672.4800042</v>
      </c>
    </row>
    <row r="7" ht="15.75" customHeight="1">
      <c r="A7" s="1">
        <v>6306.5</v>
      </c>
      <c r="B7" s="1">
        <v>3.0</v>
      </c>
      <c r="C7" s="1">
        <v>0.0</v>
      </c>
      <c r="D7" s="1">
        <v>4.0</v>
      </c>
      <c r="E7" s="1">
        <v>162.61</v>
      </c>
      <c r="F7" s="1">
        <v>118.57</v>
      </c>
      <c r="G7" s="1">
        <v>74.5</v>
      </c>
      <c r="I7" s="1">
        <f t="shared" si="1"/>
        <v>656.4331533</v>
      </c>
    </row>
    <row r="8" ht="15.75" customHeight="1">
      <c r="A8" s="1">
        <v>7094.8</v>
      </c>
      <c r="B8" s="1">
        <v>4.0</v>
      </c>
      <c r="C8" s="1">
        <v>0.0</v>
      </c>
      <c r="D8" s="1">
        <v>4.0</v>
      </c>
      <c r="E8" s="1">
        <v>162.61</v>
      </c>
      <c r="F8" s="1">
        <v>118.57</v>
      </c>
      <c r="G8" s="1">
        <v>74.5</v>
      </c>
      <c r="I8" s="1">
        <f t="shared" si="1"/>
        <v>563.5742524</v>
      </c>
    </row>
    <row r="9" ht="15.75" customHeight="1">
      <c r="J9" s="1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17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K1" s="3" t="s">
        <v>9</v>
      </c>
      <c r="L1" s="3" t="s">
        <v>10</v>
      </c>
      <c r="M1" s="3" t="s">
        <v>11</v>
      </c>
      <c r="O1" s="3" t="s">
        <v>7</v>
      </c>
      <c r="P1" s="1" t="s">
        <v>13</v>
      </c>
    </row>
    <row r="2" ht="15.75" customHeight="1">
      <c r="A2" s="1">
        <v>1237.1</v>
      </c>
      <c r="B2" s="1">
        <v>1.0</v>
      </c>
      <c r="C2" s="1">
        <v>0.0</v>
      </c>
      <c r="D2" s="1">
        <v>0.0</v>
      </c>
      <c r="E2" s="1">
        <v>136.39</v>
      </c>
      <c r="F2" s="1">
        <v>66.93</v>
      </c>
      <c r="G2" s="1">
        <v>66.5</v>
      </c>
      <c r="H2" s="1">
        <v>30.1</v>
      </c>
      <c r="I2" s="1">
        <f t="shared" ref="I2:I9" si="1">2*A2*(1/(((B2^2)/((E2/1000)^2))+((C2^2)/((F2/1000)^2))+((D2^2)/(G2/100)^2)))^0.5</f>
        <v>337.456138</v>
      </c>
      <c r="K2" s="1">
        <v>3479.5</v>
      </c>
      <c r="L2" s="1">
        <v>1.0</v>
      </c>
      <c r="M2" s="1">
        <v>0.0</v>
      </c>
      <c r="N2" s="2">
        <v>0.0</v>
      </c>
      <c r="O2" s="2">
        <v>28.4</v>
      </c>
      <c r="P2" s="1">
        <f t="shared" ref="P2:P8" si="2">2*K2*(1/(((L2^2)/((E2/1000)^2))+((M2^2)/((F2/1000)^2))+((N2^2)/(G2/100)^2)))^0.5</f>
        <v>949.13801</v>
      </c>
    </row>
    <row r="3" ht="15.75" customHeight="1">
      <c r="A3" s="1">
        <v>2077.8</v>
      </c>
      <c r="B3" s="1">
        <v>1.0</v>
      </c>
      <c r="C3" s="1">
        <v>0.0</v>
      </c>
      <c r="D3" s="2">
        <v>2.0</v>
      </c>
      <c r="E3" s="1">
        <v>136.39</v>
      </c>
      <c r="F3" s="1">
        <v>66.93</v>
      </c>
      <c r="G3" s="1">
        <v>66.5</v>
      </c>
      <c r="I3" s="1">
        <f t="shared" si="1"/>
        <v>524.3803999</v>
      </c>
      <c r="K3" s="1">
        <v>4892.2</v>
      </c>
      <c r="L3" s="2">
        <v>1.0</v>
      </c>
      <c r="M3" s="1">
        <v>0.0</v>
      </c>
      <c r="N3" s="2">
        <v>0.0</v>
      </c>
      <c r="P3" s="1">
        <f t="shared" si="2"/>
        <v>1334.494316</v>
      </c>
    </row>
    <row r="4" ht="15.75" customHeight="1">
      <c r="A4" s="1">
        <v>3306.2</v>
      </c>
      <c r="B4" s="1">
        <v>1.0</v>
      </c>
      <c r="C4" s="1">
        <v>1.0</v>
      </c>
      <c r="D4" s="2">
        <v>2.0</v>
      </c>
      <c r="E4" s="1">
        <v>136.39</v>
      </c>
      <c r="F4" s="1">
        <v>66.93</v>
      </c>
      <c r="G4" s="1">
        <v>66.5</v>
      </c>
      <c r="I4" s="1">
        <f t="shared" si="1"/>
        <v>390.9753935</v>
      </c>
      <c r="K4" s="1">
        <v>5820.9</v>
      </c>
      <c r="L4" s="1">
        <v>1.0</v>
      </c>
      <c r="M4" s="1">
        <v>0.0</v>
      </c>
      <c r="N4" s="2">
        <v>0.0</v>
      </c>
      <c r="P4" s="1">
        <f t="shared" si="2"/>
        <v>1587.825102</v>
      </c>
    </row>
    <row r="5" ht="15.75" customHeight="1">
      <c r="A5" s="1">
        <v>4294.8</v>
      </c>
      <c r="B5" s="1">
        <v>2.0</v>
      </c>
      <c r="C5" s="1">
        <v>0.0</v>
      </c>
      <c r="D5" s="2">
        <v>2.0</v>
      </c>
      <c r="E5" s="1">
        <v>136.39</v>
      </c>
      <c r="F5" s="1">
        <v>66.93</v>
      </c>
      <c r="G5" s="1">
        <v>66.5</v>
      </c>
      <c r="I5" s="1">
        <f t="shared" si="1"/>
        <v>573.8231318</v>
      </c>
      <c r="K5" s="1">
        <v>6422.9</v>
      </c>
      <c r="L5" s="1">
        <v>1.0</v>
      </c>
      <c r="M5" s="1">
        <v>0.0</v>
      </c>
      <c r="N5" s="2">
        <v>1.0</v>
      </c>
      <c r="P5" s="1">
        <f t="shared" si="2"/>
        <v>1716.312095</v>
      </c>
    </row>
    <row r="6" ht="15.75" customHeight="1">
      <c r="A6" s="1">
        <v>5454.3</v>
      </c>
      <c r="B6" s="1">
        <v>0.0</v>
      </c>
      <c r="C6" s="1">
        <v>2.0</v>
      </c>
      <c r="D6" s="2">
        <v>3.0</v>
      </c>
      <c r="E6" s="1">
        <v>136.39</v>
      </c>
      <c r="F6" s="1">
        <v>66.93</v>
      </c>
      <c r="G6" s="1">
        <v>66.5</v>
      </c>
      <c r="I6" s="1">
        <f t="shared" si="1"/>
        <v>360.9659217</v>
      </c>
      <c r="K6" s="1">
        <v>7100.8</v>
      </c>
      <c r="L6" s="1">
        <v>2.0</v>
      </c>
      <c r="M6" s="1">
        <v>0.0</v>
      </c>
      <c r="N6" s="2">
        <v>1.0</v>
      </c>
      <c r="P6" s="1">
        <f t="shared" si="2"/>
        <v>963.4255387</v>
      </c>
    </row>
    <row r="7" ht="15.75" customHeight="1">
      <c r="A7" s="1">
        <v>6120.5</v>
      </c>
      <c r="B7" s="1">
        <v>3.0</v>
      </c>
      <c r="C7" s="1">
        <v>0.0</v>
      </c>
      <c r="D7" s="2">
        <v>3.0</v>
      </c>
      <c r="E7" s="1">
        <v>136.39</v>
      </c>
      <c r="F7" s="1">
        <v>66.93</v>
      </c>
      <c r="G7" s="1">
        <v>66.5</v>
      </c>
      <c r="I7" s="1">
        <f t="shared" si="1"/>
        <v>545.168495</v>
      </c>
      <c r="K7" s="1">
        <v>8320.3</v>
      </c>
      <c r="L7" s="1">
        <v>1.0</v>
      </c>
      <c r="M7" s="1">
        <v>1.0</v>
      </c>
      <c r="N7" s="2">
        <v>1.0</v>
      </c>
      <c r="P7" s="1">
        <f t="shared" si="2"/>
        <v>995.7983717</v>
      </c>
    </row>
    <row r="8" ht="15.75" customHeight="1">
      <c r="A8" s="1">
        <v>7106.8</v>
      </c>
      <c r="B8" s="1">
        <v>4.0</v>
      </c>
      <c r="C8" s="1">
        <v>1.0</v>
      </c>
      <c r="D8" s="2">
        <v>4.0</v>
      </c>
      <c r="E8" s="1">
        <v>136.39</v>
      </c>
      <c r="F8" s="1">
        <v>66.93</v>
      </c>
      <c r="G8" s="1">
        <v>66.5</v>
      </c>
      <c r="I8" s="1">
        <f t="shared" si="1"/>
        <v>424.8025316</v>
      </c>
      <c r="K8" s="1">
        <v>9553.4</v>
      </c>
      <c r="L8" s="1">
        <v>1.0</v>
      </c>
      <c r="M8" s="1">
        <v>1.0</v>
      </c>
      <c r="N8" s="2">
        <v>1.0</v>
      </c>
      <c r="P8" s="1">
        <f t="shared" si="2"/>
        <v>1143.379465</v>
      </c>
    </row>
    <row r="9" ht="15.75" customHeight="1">
      <c r="A9" s="1">
        <v>8328.4</v>
      </c>
      <c r="B9" s="1">
        <v>2.0</v>
      </c>
      <c r="C9" s="1">
        <v>1.0</v>
      </c>
      <c r="D9" s="2">
        <v>5.0</v>
      </c>
      <c r="E9" s="1">
        <v>136.39</v>
      </c>
      <c r="F9" s="1">
        <v>66.93</v>
      </c>
      <c r="G9" s="1">
        <v>66.5</v>
      </c>
      <c r="I9" s="1">
        <f t="shared" si="1"/>
        <v>748.8238889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17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7</v>
      </c>
      <c r="P1" s="1" t="s">
        <v>13</v>
      </c>
    </row>
    <row r="2" ht="15.75" customHeight="1">
      <c r="A2" s="1">
        <v>1262.8</v>
      </c>
      <c r="B2" s="1">
        <v>1.0</v>
      </c>
      <c r="C2" s="1">
        <v>0.0</v>
      </c>
      <c r="D2" s="1">
        <v>0.0</v>
      </c>
      <c r="E2" s="1">
        <v>136.18</v>
      </c>
      <c r="F2" s="1">
        <v>99.04</v>
      </c>
      <c r="G2" s="1">
        <v>68.0</v>
      </c>
      <c r="H2" s="1">
        <v>30.0</v>
      </c>
      <c r="I2" s="1">
        <f t="shared" ref="I2:I8" si="1">2*A2*(1/(((B2^2)/((E2/1000)^2))+((C2^2)/((F2/1000)^2))+((D2^2)/(G2/100)^2)))^0.5</f>
        <v>343.936208</v>
      </c>
      <c r="K2" s="1">
        <v>1916.4</v>
      </c>
      <c r="L2" s="1">
        <v>1.0</v>
      </c>
      <c r="M2" s="1">
        <v>0.0</v>
      </c>
      <c r="N2" s="2">
        <v>0.0</v>
      </c>
      <c r="O2" s="1">
        <v>28.4</v>
      </c>
      <c r="P2" s="1">
        <f t="shared" ref="P2:P7" si="2">2*K2*(1/(((L2^2)/((E2/1000)^2))+((M2^2)/((F2/1000)^2))+((N2^2)/(G2/100)^2)))^0.5</f>
        <v>521.950704</v>
      </c>
    </row>
    <row r="3" ht="15.75" customHeight="1">
      <c r="A3" s="1">
        <v>2158.9</v>
      </c>
      <c r="B3" s="1">
        <v>1.0</v>
      </c>
      <c r="C3" s="1">
        <v>1.0</v>
      </c>
      <c r="D3" s="2">
        <v>0.0</v>
      </c>
      <c r="E3" s="1">
        <v>136.18</v>
      </c>
      <c r="F3" s="1">
        <v>99.04</v>
      </c>
      <c r="G3" s="1">
        <v>68.0</v>
      </c>
      <c r="I3" s="1">
        <f t="shared" si="1"/>
        <v>345.8437842</v>
      </c>
      <c r="K3" s="1">
        <v>2743.5</v>
      </c>
      <c r="L3" s="1">
        <v>1.0</v>
      </c>
      <c r="M3" s="1">
        <v>0.0</v>
      </c>
      <c r="N3" s="2">
        <v>0.0</v>
      </c>
      <c r="P3" s="1">
        <f t="shared" si="2"/>
        <v>747.21966</v>
      </c>
    </row>
    <row r="4" ht="15.75" customHeight="1">
      <c r="A4" s="1">
        <v>3100.2</v>
      </c>
      <c r="B4" s="1">
        <v>0.0</v>
      </c>
      <c r="C4" s="1">
        <v>1.0</v>
      </c>
      <c r="D4" s="2">
        <v>3.0</v>
      </c>
      <c r="E4" s="1">
        <v>136.18</v>
      </c>
      <c r="F4" s="1">
        <v>99.04</v>
      </c>
      <c r="G4" s="1">
        <v>68.0</v>
      </c>
      <c r="I4" s="1">
        <f t="shared" si="1"/>
        <v>562.7162853</v>
      </c>
      <c r="K4" s="1">
        <v>3566.2</v>
      </c>
      <c r="L4" s="1">
        <v>0.0</v>
      </c>
      <c r="M4" s="1">
        <v>1.0</v>
      </c>
      <c r="N4" s="2">
        <v>0.0</v>
      </c>
      <c r="P4" s="1">
        <f t="shared" si="2"/>
        <v>706.392896</v>
      </c>
    </row>
    <row r="5" ht="15.75" customHeight="1">
      <c r="A5" s="1">
        <v>4015.3</v>
      </c>
      <c r="B5" s="1">
        <v>2.0</v>
      </c>
      <c r="C5" s="1">
        <v>1.0</v>
      </c>
      <c r="D5" s="1">
        <v>3.0</v>
      </c>
      <c r="E5" s="1">
        <v>136.18</v>
      </c>
      <c r="F5" s="1">
        <v>99.04</v>
      </c>
      <c r="G5" s="1">
        <v>68.0</v>
      </c>
      <c r="I5" s="1">
        <f t="shared" si="1"/>
        <v>437.3876109</v>
      </c>
      <c r="K5" s="1">
        <v>4199.7</v>
      </c>
      <c r="L5" s="1">
        <v>0.0</v>
      </c>
      <c r="M5" s="1">
        <v>1.0</v>
      </c>
      <c r="N5" s="2">
        <v>0.0</v>
      </c>
      <c r="P5" s="1">
        <f t="shared" si="2"/>
        <v>831.876576</v>
      </c>
    </row>
    <row r="6" ht="15.75" customHeight="1">
      <c r="A6" s="1">
        <v>5433.8</v>
      </c>
      <c r="B6" s="2">
        <v>2.0</v>
      </c>
      <c r="C6" s="1">
        <v>1.0</v>
      </c>
      <c r="D6" s="2">
        <v>4.0</v>
      </c>
      <c r="E6" s="1">
        <v>136.18</v>
      </c>
      <c r="F6" s="1">
        <v>99.04</v>
      </c>
      <c r="G6" s="1">
        <v>68.0</v>
      </c>
      <c r="I6" s="1">
        <f t="shared" si="1"/>
        <v>579.0462339</v>
      </c>
      <c r="K6" s="1">
        <v>5342.4</v>
      </c>
      <c r="L6" s="1">
        <v>1.0</v>
      </c>
      <c r="M6" s="1">
        <v>1.0</v>
      </c>
      <c r="N6" s="2">
        <v>0.0</v>
      </c>
      <c r="P6" s="1">
        <f t="shared" si="2"/>
        <v>855.8227954</v>
      </c>
    </row>
    <row r="7" ht="15.75" customHeight="1">
      <c r="A7" s="1">
        <v>6317.0</v>
      </c>
      <c r="B7" s="1">
        <v>2.0</v>
      </c>
      <c r="C7" s="1">
        <v>2.0</v>
      </c>
      <c r="D7" s="2">
        <v>4.0</v>
      </c>
      <c r="E7" s="1">
        <v>136.18</v>
      </c>
      <c r="F7" s="1">
        <v>99.04</v>
      </c>
      <c r="G7" s="1">
        <v>68.0</v>
      </c>
      <c r="I7" s="1">
        <f t="shared" si="1"/>
        <v>492.4925089</v>
      </c>
      <c r="K7" s="1">
        <v>6282.0</v>
      </c>
      <c r="L7" s="1">
        <v>2.0</v>
      </c>
      <c r="M7" s="1">
        <v>0.0</v>
      </c>
      <c r="N7" s="2">
        <v>0.0</v>
      </c>
      <c r="P7" s="1">
        <f t="shared" si="2"/>
        <v>855.48276</v>
      </c>
    </row>
    <row r="8" ht="15.75" customHeight="1">
      <c r="A8" s="1">
        <v>7430.3</v>
      </c>
      <c r="B8" s="1">
        <v>4.0</v>
      </c>
      <c r="C8" s="1">
        <v>1.0</v>
      </c>
      <c r="D8" s="2">
        <v>4.0</v>
      </c>
      <c r="E8" s="1">
        <v>136.18</v>
      </c>
      <c r="F8" s="1">
        <v>99.04</v>
      </c>
      <c r="G8" s="1">
        <v>68.0</v>
      </c>
      <c r="I8" s="1">
        <f t="shared" si="1"/>
        <v>470.0940737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17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7</v>
      </c>
      <c r="P1" s="1" t="s">
        <v>13</v>
      </c>
    </row>
    <row r="2" ht="15.75" customHeight="1">
      <c r="A2" s="1">
        <v>1876.1</v>
      </c>
      <c r="B2" s="1">
        <v>1.0</v>
      </c>
      <c r="C2" s="1">
        <v>1.0</v>
      </c>
      <c r="D2" s="2">
        <v>1.0</v>
      </c>
      <c r="E2" s="1">
        <v>164.03</v>
      </c>
      <c r="F2" s="1">
        <v>117.49</v>
      </c>
      <c r="G2" s="1">
        <v>53.0</v>
      </c>
      <c r="H2" s="1">
        <v>30.0</v>
      </c>
      <c r="I2" s="1">
        <f t="shared" ref="I2:I8" si="1">2*A2*(1/(((B2^2)/((E2/1000)^2))+((C2^2)/((F2/1000)^2))+((D2^2)/(G2/100)^2)))^0.5</f>
        <v>352.7121766</v>
      </c>
      <c r="K2" s="1">
        <v>1984.1</v>
      </c>
      <c r="L2" s="1">
        <v>1.0</v>
      </c>
      <c r="M2" s="1">
        <v>0.0</v>
      </c>
      <c r="N2" s="2">
        <v>0.0</v>
      </c>
      <c r="O2" s="2">
        <v>28.4</v>
      </c>
      <c r="P2" s="1">
        <f t="shared" ref="P2:P7" si="2">2*K2*(1/(((L2^2)/((E2/1000)^2))+((M2^2)/((F2/1000)^2))+((N2^2)/(G2/100)^2)))^0.5</f>
        <v>650.903846</v>
      </c>
    </row>
    <row r="3" ht="15.75" customHeight="1">
      <c r="A3" s="1">
        <v>2511.7</v>
      </c>
      <c r="B3" s="1">
        <v>2.0</v>
      </c>
      <c r="C3" s="1">
        <v>1.0</v>
      </c>
      <c r="D3" s="2">
        <v>2.0</v>
      </c>
      <c r="E3" s="1">
        <v>164.03</v>
      </c>
      <c r="F3" s="1">
        <v>117.49</v>
      </c>
      <c r="G3" s="1">
        <v>53.0</v>
      </c>
      <c r="I3" s="1">
        <f t="shared" si="1"/>
        <v>327.4468417</v>
      </c>
      <c r="K3" s="1">
        <v>2415.1</v>
      </c>
      <c r="L3" s="1">
        <v>1.0</v>
      </c>
      <c r="M3" s="1">
        <v>0.0</v>
      </c>
      <c r="N3" s="2">
        <v>0.0</v>
      </c>
      <c r="P3" s="1">
        <f t="shared" si="2"/>
        <v>792.297706</v>
      </c>
    </row>
    <row r="4" ht="15.75" customHeight="1">
      <c r="A4" s="1">
        <v>3313.8</v>
      </c>
      <c r="B4" s="1">
        <v>1.0</v>
      </c>
      <c r="C4" s="1">
        <v>0.0</v>
      </c>
      <c r="D4" s="2">
        <v>4.0</v>
      </c>
      <c r="E4" s="1">
        <v>164.03</v>
      </c>
      <c r="F4" s="1">
        <v>117.49</v>
      </c>
      <c r="G4" s="1">
        <v>53.0</v>
      </c>
      <c r="I4" s="1">
        <f t="shared" si="1"/>
        <v>683.1255223</v>
      </c>
      <c r="K4" s="1">
        <v>3050.2</v>
      </c>
      <c r="L4" s="1">
        <v>0.0</v>
      </c>
      <c r="M4" s="1">
        <v>1.0</v>
      </c>
      <c r="N4" s="2">
        <v>0.0</v>
      </c>
      <c r="P4" s="1">
        <f t="shared" si="2"/>
        <v>716.735996</v>
      </c>
    </row>
    <row r="5" ht="15.75" customHeight="1">
      <c r="A5" s="1">
        <v>4366.6</v>
      </c>
      <c r="B5" s="1">
        <v>0.0</v>
      </c>
      <c r="C5" s="1">
        <v>2.0</v>
      </c>
      <c r="D5" s="2">
        <v>4.0</v>
      </c>
      <c r="E5" s="1">
        <v>164.03</v>
      </c>
      <c r="F5" s="1">
        <v>117.49</v>
      </c>
      <c r="G5" s="1">
        <v>53.0</v>
      </c>
      <c r="I5" s="1">
        <f t="shared" si="1"/>
        <v>469.0032463</v>
      </c>
      <c r="K5" s="1">
        <v>4257.6</v>
      </c>
      <c r="L5" s="1">
        <v>1.0</v>
      </c>
      <c r="M5" s="1">
        <v>1.0</v>
      </c>
      <c r="N5" s="2">
        <v>0.0</v>
      </c>
      <c r="P5" s="1">
        <f t="shared" si="2"/>
        <v>813.3357684</v>
      </c>
    </row>
    <row r="6" ht="15.75" customHeight="1">
      <c r="A6" s="1">
        <v>5357.8</v>
      </c>
      <c r="B6" s="1">
        <v>2.0</v>
      </c>
      <c r="C6" s="1">
        <v>1.0</v>
      </c>
      <c r="D6" s="2">
        <v>4.0</v>
      </c>
      <c r="E6" s="1">
        <v>164.03</v>
      </c>
      <c r="F6" s="1">
        <v>117.49</v>
      </c>
      <c r="G6" s="1">
        <v>53.0</v>
      </c>
      <c r="I6" s="1">
        <f t="shared" si="1"/>
        <v>642.5984626</v>
      </c>
      <c r="K6" s="1">
        <v>5662.1</v>
      </c>
      <c r="L6" s="1">
        <v>2.0</v>
      </c>
      <c r="M6" s="1">
        <v>0.0</v>
      </c>
      <c r="N6" s="2">
        <v>1.0</v>
      </c>
      <c r="P6" s="1">
        <f t="shared" si="2"/>
        <v>917.8300479</v>
      </c>
    </row>
    <row r="7" ht="15.75" customHeight="1">
      <c r="A7" s="1">
        <v>6318.0</v>
      </c>
      <c r="B7" s="1">
        <v>2.0</v>
      </c>
      <c r="C7" s="1">
        <v>1.0</v>
      </c>
      <c r="D7" s="2">
        <v>4.0</v>
      </c>
      <c r="E7" s="1">
        <v>164.03</v>
      </c>
      <c r="F7" s="1">
        <v>117.49</v>
      </c>
      <c r="G7" s="1">
        <v>53.0</v>
      </c>
      <c r="I7" s="1">
        <f t="shared" si="1"/>
        <v>757.7619707</v>
      </c>
      <c r="K7" s="1">
        <v>7008.6</v>
      </c>
      <c r="L7" s="1">
        <v>2.0</v>
      </c>
      <c r="M7" s="1">
        <v>1.0</v>
      </c>
      <c r="N7" s="2">
        <v>1.0</v>
      </c>
      <c r="P7" s="1">
        <f t="shared" si="2"/>
        <v>935.1662805</v>
      </c>
    </row>
    <row r="8" ht="15.75" customHeight="1">
      <c r="A8" s="1">
        <v>7350.8</v>
      </c>
      <c r="B8" s="1">
        <v>2.0</v>
      </c>
      <c r="C8" s="1">
        <v>1.0</v>
      </c>
      <c r="D8" s="2">
        <v>4.0</v>
      </c>
      <c r="E8" s="1">
        <v>164.03</v>
      </c>
      <c r="F8" s="1">
        <v>117.49</v>
      </c>
      <c r="G8" s="1">
        <v>53.0</v>
      </c>
      <c r="I8" s="1">
        <f t="shared" si="1"/>
        <v>881.632905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17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7</v>
      </c>
      <c r="P1" s="3" t="s">
        <v>13</v>
      </c>
    </row>
    <row r="2" ht="15.75" customHeight="1">
      <c r="A2" s="1">
        <v>1285.2</v>
      </c>
      <c r="B2" s="1">
        <v>1.0</v>
      </c>
      <c r="C2" s="1">
        <v>0.0</v>
      </c>
      <c r="D2" s="1">
        <v>0.0</v>
      </c>
      <c r="E2" s="1">
        <v>134.48</v>
      </c>
      <c r="F2" s="1">
        <v>98.78</v>
      </c>
      <c r="G2" s="1">
        <v>20.0</v>
      </c>
      <c r="H2" s="1">
        <v>29.9</v>
      </c>
      <c r="I2" s="1">
        <f t="shared" ref="I2:I8" si="1">2*A2*(1/(((B2^2)/((E2/1000)^2))+((C2^2)/((F2/1000)^2))+((D2^2)/(G2/100)^2)))^0.5</f>
        <v>345.667392</v>
      </c>
      <c r="K2" s="1">
        <v>3024.6</v>
      </c>
      <c r="L2" s="1">
        <v>1.0</v>
      </c>
      <c r="M2" s="1">
        <v>0.0</v>
      </c>
      <c r="N2" s="2">
        <v>0.0</v>
      </c>
      <c r="O2" s="1">
        <v>28.7</v>
      </c>
      <c r="P2" s="1">
        <f t="shared" ref="P2:P8" si="2">2*K2*(1/(((L2^2)/((E2/1000)^2))+((M2^2)/((F2/1000)^2))+((N2^2)/(G2/100)^2)))^0.5</f>
        <v>813.496416</v>
      </c>
    </row>
    <row r="3" ht="15.75" customHeight="1">
      <c r="A3" s="1">
        <v>2071.3</v>
      </c>
      <c r="B3" s="1">
        <v>1.0</v>
      </c>
      <c r="C3" s="1">
        <v>1.0</v>
      </c>
      <c r="D3" s="2">
        <v>0.0</v>
      </c>
      <c r="E3" s="1">
        <v>134.48</v>
      </c>
      <c r="F3" s="1">
        <v>98.78</v>
      </c>
      <c r="G3" s="1">
        <v>20.0</v>
      </c>
      <c r="I3" s="1">
        <f t="shared" si="1"/>
        <v>329.7970071</v>
      </c>
      <c r="K3" s="1">
        <v>3929.6</v>
      </c>
      <c r="L3" s="1">
        <v>1.0</v>
      </c>
      <c r="M3" s="1">
        <v>0.0</v>
      </c>
      <c r="N3" s="2">
        <v>1.0</v>
      </c>
      <c r="P3" s="1">
        <f t="shared" si="2"/>
        <v>877.0705417</v>
      </c>
    </row>
    <row r="4" ht="15.75" customHeight="1">
      <c r="A4" s="1">
        <v>3080.0</v>
      </c>
      <c r="B4" s="1">
        <v>2.0</v>
      </c>
      <c r="C4" s="1">
        <v>1.0</v>
      </c>
      <c r="D4" s="2">
        <v>0.0</v>
      </c>
      <c r="E4" s="1">
        <v>134.48</v>
      </c>
      <c r="F4" s="1">
        <v>98.78</v>
      </c>
      <c r="G4" s="1">
        <v>20.0</v>
      </c>
      <c r="I4" s="1">
        <f t="shared" si="1"/>
        <v>342.3994142</v>
      </c>
      <c r="K4" s="1">
        <v>4982.1</v>
      </c>
      <c r="L4" s="1">
        <v>0.0</v>
      </c>
      <c r="M4" s="1">
        <v>1.0</v>
      </c>
      <c r="N4" s="2">
        <v>0.0</v>
      </c>
      <c r="P4" s="1">
        <f t="shared" si="2"/>
        <v>984.263676</v>
      </c>
    </row>
    <row r="5" ht="15.75" customHeight="1">
      <c r="A5" s="1">
        <v>4320.8</v>
      </c>
      <c r="B5" s="1">
        <v>2.0</v>
      </c>
      <c r="C5" s="1">
        <v>2.0</v>
      </c>
      <c r="D5" s="2">
        <v>1.0</v>
      </c>
      <c r="E5" s="1">
        <v>134.48</v>
      </c>
      <c r="F5" s="1">
        <v>98.78</v>
      </c>
      <c r="G5" s="1">
        <v>20.0</v>
      </c>
      <c r="I5" s="1">
        <f t="shared" si="1"/>
        <v>337.3667046</v>
      </c>
      <c r="K5" s="1">
        <v>5995.5</v>
      </c>
      <c r="L5" s="1">
        <v>1.0</v>
      </c>
      <c r="M5" s="1">
        <v>1.0</v>
      </c>
      <c r="N5" s="2">
        <v>0.0</v>
      </c>
      <c r="P5" s="1">
        <f t="shared" si="2"/>
        <v>954.6168862</v>
      </c>
    </row>
    <row r="6" ht="15.75" customHeight="1">
      <c r="A6" s="1">
        <v>5412.1</v>
      </c>
      <c r="B6" s="1">
        <v>4.0</v>
      </c>
      <c r="C6" s="1">
        <v>1.0</v>
      </c>
      <c r="D6" s="2">
        <v>1.0</v>
      </c>
      <c r="E6" s="1">
        <v>134.48</v>
      </c>
      <c r="F6" s="1">
        <v>98.78</v>
      </c>
      <c r="G6" s="1">
        <v>20.0</v>
      </c>
      <c r="I6" s="1">
        <f t="shared" si="1"/>
        <v>340.2217213</v>
      </c>
      <c r="K6" s="1">
        <v>6555.6</v>
      </c>
      <c r="L6" s="1">
        <v>1.0</v>
      </c>
      <c r="M6" s="1">
        <v>1.0</v>
      </c>
      <c r="N6" s="2">
        <v>1.0</v>
      </c>
      <c r="P6" s="1">
        <f t="shared" si="2"/>
        <v>969.7902957</v>
      </c>
    </row>
    <row r="7" ht="15.75" customHeight="1">
      <c r="A7" s="1">
        <v>6476.4</v>
      </c>
      <c r="B7" s="1">
        <v>2.0</v>
      </c>
      <c r="C7" s="1">
        <v>2.0</v>
      </c>
      <c r="D7" s="1">
        <v>3.0</v>
      </c>
      <c r="E7" s="1">
        <v>134.48</v>
      </c>
      <c r="F7" s="1">
        <v>98.78</v>
      </c>
      <c r="G7" s="1">
        <v>20.0</v>
      </c>
      <c r="I7" s="1">
        <f t="shared" si="1"/>
        <v>442.6863249</v>
      </c>
      <c r="K7" s="1">
        <v>8432.5</v>
      </c>
      <c r="L7" s="1">
        <v>2.0</v>
      </c>
      <c r="M7" s="1">
        <v>1.0</v>
      </c>
      <c r="N7" s="2">
        <v>0.0</v>
      </c>
      <c r="P7" s="1">
        <f t="shared" si="2"/>
        <v>937.429565</v>
      </c>
    </row>
    <row r="8" ht="15.75" customHeight="1">
      <c r="A8" s="1">
        <v>7848.2</v>
      </c>
      <c r="B8" s="1">
        <v>6.0</v>
      </c>
      <c r="C8" s="1">
        <v>1.0</v>
      </c>
      <c r="D8" s="2">
        <v>1.0</v>
      </c>
      <c r="E8" s="1">
        <v>134.48</v>
      </c>
      <c r="F8" s="1">
        <v>98.78</v>
      </c>
      <c r="G8" s="1">
        <v>20.0</v>
      </c>
      <c r="I8" s="1">
        <f t="shared" si="1"/>
        <v>341.0569222</v>
      </c>
      <c r="K8" s="1">
        <v>9957.9</v>
      </c>
      <c r="L8" s="1">
        <v>0.0</v>
      </c>
      <c r="M8" s="1">
        <v>2.0</v>
      </c>
      <c r="N8" s="2">
        <v>0.0</v>
      </c>
      <c r="P8" s="1">
        <f t="shared" si="2"/>
        <v>983.641362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17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7</v>
      </c>
    </row>
    <row r="2" ht="15.75" customHeight="1">
      <c r="A2" s="1">
        <v>1048.64</v>
      </c>
      <c r="B2" s="1">
        <v>1.0</v>
      </c>
      <c r="C2" s="1">
        <v>0.0</v>
      </c>
      <c r="D2" s="2">
        <v>0.0</v>
      </c>
      <c r="E2" s="1">
        <v>169.45</v>
      </c>
      <c r="F2" s="1">
        <v>52.32</v>
      </c>
      <c r="G2" s="1">
        <v>28.5</v>
      </c>
      <c r="H2" s="1">
        <v>30.4</v>
      </c>
      <c r="I2" s="1">
        <f t="shared" ref="I2:I8" si="1">2*A2*(1/(((B2^2)/((E2/1000)^2))+((C2^2)/((F2/1000)^2))+((D2^2)/(G2/100)^2)))^0.5</f>
        <v>355.384096</v>
      </c>
      <c r="J2" s="1" t="s">
        <v>19</v>
      </c>
      <c r="M2" s="2">
        <v>28.7</v>
      </c>
    </row>
    <row r="3" ht="15.75" customHeight="1">
      <c r="A3" s="1">
        <v>2121.0</v>
      </c>
      <c r="B3" s="1">
        <v>2.0</v>
      </c>
      <c r="C3" s="1">
        <v>0.0</v>
      </c>
      <c r="D3" s="2">
        <v>1.0</v>
      </c>
      <c r="E3" s="1">
        <v>169.45</v>
      </c>
      <c r="F3" s="1">
        <v>52.32</v>
      </c>
      <c r="G3" s="1">
        <v>28.5</v>
      </c>
      <c r="I3" s="1">
        <f t="shared" si="1"/>
        <v>344.502835</v>
      </c>
    </row>
    <row r="4" ht="15.75" customHeight="1">
      <c r="A4" s="1">
        <v>3068.5</v>
      </c>
      <c r="B4" s="1">
        <v>3.0</v>
      </c>
      <c r="C4" s="1">
        <v>0.0</v>
      </c>
      <c r="D4" s="2">
        <v>1.0</v>
      </c>
      <c r="E4" s="1">
        <v>169.45</v>
      </c>
      <c r="F4" s="1">
        <v>52.32</v>
      </c>
      <c r="G4" s="1">
        <v>28.5</v>
      </c>
      <c r="I4" s="1">
        <f t="shared" si="1"/>
        <v>340.0247621</v>
      </c>
    </row>
    <row r="5" ht="15.75" customHeight="1">
      <c r="A5" s="1">
        <v>4488.6</v>
      </c>
      <c r="B5" s="1">
        <v>3.0</v>
      </c>
      <c r="C5" s="1">
        <v>1.0</v>
      </c>
      <c r="D5" s="2">
        <v>1.0</v>
      </c>
      <c r="E5" s="1">
        <v>169.45</v>
      </c>
      <c r="F5" s="1">
        <v>52.32</v>
      </c>
      <c r="G5" s="1">
        <v>28.5</v>
      </c>
      <c r="I5" s="1">
        <f t="shared" si="1"/>
        <v>341.4920925</v>
      </c>
    </row>
    <row r="6" ht="15.75" customHeight="1">
      <c r="A6" s="1">
        <v>5104.3</v>
      </c>
      <c r="B6" s="1">
        <v>5.0</v>
      </c>
      <c r="C6" s="1">
        <v>0.0</v>
      </c>
      <c r="D6" s="2">
        <v>2.0</v>
      </c>
      <c r="E6" s="1">
        <v>169.45</v>
      </c>
      <c r="F6" s="1">
        <v>52.32</v>
      </c>
      <c r="G6" s="1">
        <v>28.5</v>
      </c>
      <c r="I6" s="1">
        <f t="shared" si="1"/>
        <v>336.5817518</v>
      </c>
    </row>
    <row r="7" ht="15.75" customHeight="1">
      <c r="A7" s="1">
        <v>6139.7</v>
      </c>
      <c r="B7" s="1">
        <v>6.0</v>
      </c>
      <c r="C7" s="1">
        <v>0.0</v>
      </c>
      <c r="D7" s="2">
        <v>2.0</v>
      </c>
      <c r="E7" s="1">
        <v>169.45</v>
      </c>
      <c r="F7" s="1">
        <v>52.32</v>
      </c>
      <c r="G7" s="1">
        <v>28.5</v>
      </c>
      <c r="I7" s="1">
        <f t="shared" si="1"/>
        <v>340.1743575</v>
      </c>
    </row>
    <row r="8" ht="15.75" customHeight="1">
      <c r="A8" s="1">
        <v>7865.8</v>
      </c>
      <c r="B8" s="1">
        <v>7.0</v>
      </c>
      <c r="C8" s="1">
        <v>1.0</v>
      </c>
      <c r="D8" s="2">
        <v>2.0</v>
      </c>
      <c r="E8" s="1">
        <v>169.45</v>
      </c>
      <c r="F8" s="1">
        <v>52.32</v>
      </c>
      <c r="G8" s="1">
        <v>28.5</v>
      </c>
      <c r="I8" s="1">
        <f t="shared" si="1"/>
        <v>341.5811597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  <c r="G1" s="1" t="s">
        <v>6</v>
      </c>
      <c r="H1" s="2" t="s">
        <v>20</v>
      </c>
      <c r="I1" s="1" t="s">
        <v>8</v>
      </c>
    </row>
    <row r="2" ht="15.75" customHeight="1">
      <c r="A2" s="1">
        <v>3962.9</v>
      </c>
      <c r="B2" s="1">
        <v>3.0</v>
      </c>
      <c r="C2" s="1">
        <v>1.0</v>
      </c>
      <c r="D2" s="1">
        <v>1.0</v>
      </c>
      <c r="E2" s="1">
        <v>131.03</v>
      </c>
      <c r="F2" s="1">
        <v>99.52</v>
      </c>
      <c r="G2" s="1">
        <v>127.0</v>
      </c>
      <c r="H2" s="2">
        <v>28.7</v>
      </c>
      <c r="I2" s="1">
        <f t="shared" ref="I2:I4" si="1">2*A2*(1/(((B2^2)/((F2/1000)^2))+((C2^2)/((G2/1000)^2))+((D2^2)/(A2/100)^2)))^0.5</f>
        <v>254.3898859</v>
      </c>
    </row>
    <row r="3" ht="15.75" customHeight="1">
      <c r="A3" s="1">
        <v>3962.9</v>
      </c>
      <c r="B3" s="1">
        <v>2.0</v>
      </c>
      <c r="C3" s="1">
        <v>2.0</v>
      </c>
      <c r="D3" s="1">
        <v>2.0</v>
      </c>
      <c r="E3" s="1">
        <v>152.43</v>
      </c>
      <c r="F3" s="1">
        <v>99.52</v>
      </c>
      <c r="G3" s="1">
        <v>127.0</v>
      </c>
      <c r="I3" s="1">
        <f t="shared" si="1"/>
        <v>310.429026</v>
      </c>
    </row>
    <row r="4" ht="15.75" customHeight="1">
      <c r="A4" s="1">
        <v>3962.9</v>
      </c>
      <c r="B4" s="1">
        <v>1.0</v>
      </c>
      <c r="C4" s="1">
        <v>2.0</v>
      </c>
      <c r="D4" s="1">
        <v>2.0</v>
      </c>
      <c r="E4" s="1">
        <v>88.16</v>
      </c>
      <c r="F4" s="1">
        <v>99.52</v>
      </c>
      <c r="G4" s="1">
        <v>127.0</v>
      </c>
      <c r="I4" s="1">
        <f t="shared" si="1"/>
        <v>424.2765832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2022-01-25T18:15:32Z</dcterms:created>
  <dc:creator>Dylan McAfee</dc:creator>
</cp:coreProperties>
</file>