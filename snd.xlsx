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onalindsey/Desktop/lab/sound/"/>
    </mc:Choice>
  </mc:AlternateContent>
  <xr:revisionPtr revIDLastSave="0" documentId="13_ncr:1_{3D098025-7657-6C44-8ED3-B2064CE80E67}" xr6:coauthVersionLast="47" xr6:coauthVersionMax="47" xr10:uidLastSave="{00000000-0000-0000-0000-000000000000}"/>
  <bookViews>
    <workbookView xWindow="0" yWindow="0" windowWidth="28800" windowHeight="18000" xr2:uid="{FD2B2C0B-08A6-4A43-92D3-38CF685D8676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9" l="1"/>
  <c r="H4" i="9"/>
  <c r="H2" i="9"/>
  <c r="P3" i="7"/>
  <c r="P4" i="7"/>
  <c r="P5" i="7"/>
  <c r="P6" i="7"/>
  <c r="P7" i="7"/>
  <c r="P8" i="7"/>
  <c r="P2" i="7"/>
  <c r="P3" i="6"/>
  <c r="P4" i="6"/>
  <c r="P5" i="6"/>
  <c r="P6" i="6"/>
  <c r="P7" i="6"/>
  <c r="P2" i="6"/>
  <c r="P2" i="5"/>
  <c r="P3" i="5"/>
  <c r="P4" i="5"/>
  <c r="P5" i="5"/>
  <c r="P6" i="5"/>
  <c r="P7" i="5"/>
  <c r="P2" i="4"/>
  <c r="P3" i="4"/>
  <c r="P4" i="4"/>
  <c r="P5" i="4"/>
  <c r="P6" i="4"/>
  <c r="P7" i="4"/>
  <c r="P8" i="4"/>
  <c r="P2" i="3"/>
  <c r="P3" i="3"/>
  <c r="P4" i="3"/>
  <c r="P5" i="3"/>
  <c r="P2" i="2"/>
  <c r="P3" i="2"/>
  <c r="P4" i="2"/>
  <c r="P5" i="2"/>
  <c r="P6" i="2"/>
  <c r="P7" i="2"/>
  <c r="P2" i="1"/>
  <c r="P3" i="1"/>
  <c r="P4" i="1"/>
  <c r="P5" i="1"/>
  <c r="P6" i="1"/>
  <c r="P7" i="1"/>
  <c r="I2" i="1"/>
  <c r="I3" i="8"/>
  <c r="I4" i="8"/>
  <c r="I5" i="8"/>
  <c r="I6" i="8"/>
  <c r="I7" i="8"/>
  <c r="I8" i="8"/>
  <c r="I2" i="8"/>
  <c r="I3" i="7"/>
  <c r="I4" i="7"/>
  <c r="I5" i="7"/>
  <c r="I6" i="7"/>
  <c r="I7" i="7"/>
  <c r="I8" i="7"/>
  <c r="I2" i="7"/>
  <c r="I3" i="6"/>
  <c r="I4" i="6"/>
  <c r="I5" i="6"/>
  <c r="I6" i="6"/>
  <c r="I7" i="6"/>
  <c r="I8" i="6"/>
  <c r="I2" i="6"/>
  <c r="I3" i="5"/>
  <c r="I4" i="5"/>
  <c r="I5" i="5"/>
  <c r="I6" i="5"/>
  <c r="I7" i="5"/>
  <c r="I8" i="5"/>
  <c r="I2" i="5"/>
  <c r="I3" i="4"/>
  <c r="I4" i="4"/>
  <c r="I5" i="4"/>
  <c r="I6" i="4"/>
  <c r="I7" i="4"/>
  <c r="I8" i="4"/>
  <c r="I9" i="4"/>
  <c r="I2" i="4"/>
  <c r="I3" i="3"/>
  <c r="I4" i="3"/>
  <c r="I5" i="3"/>
  <c r="I6" i="3"/>
  <c r="I7" i="3"/>
  <c r="I8" i="3"/>
  <c r="I2" i="3"/>
  <c r="I3" i="2"/>
  <c r="I4" i="2"/>
  <c r="I5" i="2"/>
  <c r="I6" i="2"/>
  <c r="I7" i="2"/>
  <c r="I2" i="2"/>
  <c r="I4" i="1"/>
  <c r="I5" i="1"/>
  <c r="I6" i="1"/>
  <c r="I7" i="1"/>
  <c r="I3" i="1"/>
</calcChain>
</file>

<file path=xl/sharedStrings.xml><?xml version="1.0" encoding="utf-8"?>
<sst xmlns="http://schemas.openxmlformats.org/spreadsheetml/2006/main" count="129" uniqueCount="21">
  <si>
    <t>x</t>
  </si>
  <si>
    <t>y</t>
  </si>
  <si>
    <t>z</t>
  </si>
  <si>
    <t>f</t>
  </si>
  <si>
    <t>N_x</t>
  </si>
  <si>
    <t>N_z</t>
  </si>
  <si>
    <t>N_y</t>
  </si>
  <si>
    <t>T in C</t>
  </si>
  <si>
    <t>f_h</t>
  </si>
  <si>
    <t>N_hx</t>
  </si>
  <si>
    <t>N_hy</t>
  </si>
  <si>
    <t xml:space="preserve">* box three in helium was very inconsistanr readings on the osciliscope. </t>
  </si>
  <si>
    <t xml:space="preserve">*no input tube for the helium </t>
  </si>
  <si>
    <t>v (m/s)</t>
  </si>
  <si>
    <t>Uncertainty in the caliper for x and y was 0.01 mm</t>
  </si>
  <si>
    <t>uncertainty for the ruler should be 0.5 mm</t>
  </si>
  <si>
    <t>uncertainty of the frequency should be 0.01</t>
  </si>
  <si>
    <t>N_hz</t>
  </si>
  <si>
    <t>v (m/v)</t>
  </si>
  <si>
    <t>v_h (m/s)</t>
  </si>
  <si>
    <t xml:space="preserve">N_z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</si>
</sst>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892D1-49F1-D64A-8D19-A1C0107E93FF}">
  <dimension ref="A1:P12"/>
  <sheetViews>
    <sheetView tabSelected="1" workbookViewId="0">
      <selection activeCell="I23" sqref="I23"/>
    </sheetView>
  </sheetViews>
  <sheetFormatPr baseColWidth="10" defaultRowHeight="16" x14ac:dyDescent="0.2"/>
  <sheetData>
    <row r="1" spans="1:16" x14ac:dyDescent="0.2">
      <c r="A1" t="s">
        <v>3</v>
      </c>
      <c r="B1" t="s">
        <v>4</v>
      </c>
      <c r="C1" t="s">
        <v>6</v>
      </c>
      <c r="D1" t="s">
        <v>20</v>
      </c>
      <c r="E1" t="s">
        <v>0</v>
      </c>
      <c r="F1" t="s">
        <v>1</v>
      </c>
      <c r="G1" t="s">
        <v>2</v>
      </c>
      <c r="H1" t="s">
        <v>7</v>
      </c>
      <c r="I1" t="s">
        <v>13</v>
      </c>
      <c r="K1" t="s">
        <v>8</v>
      </c>
      <c r="L1" t="s">
        <v>9</v>
      </c>
      <c r="M1" t="s">
        <v>10</v>
      </c>
      <c r="N1" t="s">
        <v>17</v>
      </c>
      <c r="O1" t="s">
        <v>7</v>
      </c>
      <c r="P1" t="s">
        <v>19</v>
      </c>
    </row>
    <row r="2" spans="1:16" x14ac:dyDescent="0.2">
      <c r="A2">
        <v>1469.6</v>
      </c>
      <c r="B2">
        <v>0</v>
      </c>
      <c r="C2">
        <v>1</v>
      </c>
      <c r="D2">
        <v>1</v>
      </c>
      <c r="E2">
        <v>163.75</v>
      </c>
      <c r="F2">
        <v>117.11</v>
      </c>
      <c r="G2">
        <v>26</v>
      </c>
      <c r="H2">
        <v>31.7</v>
      </c>
      <c r="I2">
        <f>2*A2*(1/(((B2^2)/((E2/1000)^2))+((C2^2)/((F2/1000)^2))+((D2^2)/(G2/100)^2)))^0.5</f>
        <v>313.84253043529094</v>
      </c>
      <c r="K2">
        <v>1034.95</v>
      </c>
      <c r="L2">
        <v>1</v>
      </c>
      <c r="M2">
        <v>0</v>
      </c>
      <c r="N2">
        <v>1</v>
      </c>
      <c r="O2">
        <v>27.2</v>
      </c>
      <c r="P2">
        <f>2*K2*(1/(((L2^2)/((E2/1000)^2))+((M2^2)/((F2/1000)^2))+((N2^2)/(G2/100)^2)))^0.5</f>
        <v>286.8043134003218</v>
      </c>
    </row>
    <row r="3" spans="1:16" x14ac:dyDescent="0.2">
      <c r="A3">
        <v>2563.1999999999998</v>
      </c>
      <c r="B3">
        <v>2</v>
      </c>
      <c r="C3">
        <v>1</v>
      </c>
      <c r="D3">
        <v>1</v>
      </c>
      <c r="E3">
        <v>163.75</v>
      </c>
      <c r="F3">
        <v>117.11</v>
      </c>
      <c r="G3">
        <v>26</v>
      </c>
      <c r="I3">
        <f>2*A3*(1/(((B3^2)/((E3/1000)^2))+((C3^2)/((F3/1000)^2))+((D3^2)/(G3/100)^2)))^0.5</f>
        <v>333.07801074919405</v>
      </c>
      <c r="K3">
        <v>2546.4</v>
      </c>
      <c r="L3">
        <v>1</v>
      </c>
      <c r="M3">
        <v>0</v>
      </c>
      <c r="N3">
        <v>1</v>
      </c>
      <c r="P3">
        <f t="shared" ref="P3:P7" si="0">2*K3*(1/(((L3^2)/((E3/1000)^2))+((M3^2)/((F3/1000)^2))+((N3^2)/(G3/100)^2)))^0.5</f>
        <v>705.6558323035697</v>
      </c>
    </row>
    <row r="4" spans="1:16" x14ac:dyDescent="0.2">
      <c r="A4">
        <v>3642</v>
      </c>
      <c r="B4">
        <v>2</v>
      </c>
      <c r="C4">
        <v>2</v>
      </c>
      <c r="D4">
        <v>1</v>
      </c>
      <c r="E4">
        <v>163.75</v>
      </c>
      <c r="F4">
        <v>117.11</v>
      </c>
      <c r="G4">
        <v>26</v>
      </c>
      <c r="I4">
        <f t="shared" ref="I4:I7" si="1">2*A4*(1/(((B4^2)/((E4/1000)^2))+((C4^2)/((F4/1000)^2))+((D4^2)/(G4/100)^2)))^0.5</f>
        <v>341.24485715651321</v>
      </c>
      <c r="K4">
        <v>3079.3</v>
      </c>
      <c r="L4">
        <v>1</v>
      </c>
      <c r="M4">
        <v>0</v>
      </c>
      <c r="N4">
        <v>2</v>
      </c>
      <c r="P4">
        <f t="shared" si="0"/>
        <v>627.04119556508317</v>
      </c>
    </row>
    <row r="5" spans="1:16" x14ac:dyDescent="0.2">
      <c r="A5">
        <v>4542.5</v>
      </c>
      <c r="B5">
        <v>1</v>
      </c>
      <c r="C5">
        <v>3</v>
      </c>
      <c r="D5">
        <v>2</v>
      </c>
      <c r="E5">
        <v>163.75</v>
      </c>
      <c r="F5">
        <v>117.11</v>
      </c>
      <c r="G5">
        <v>26</v>
      </c>
      <c r="I5">
        <f t="shared" si="1"/>
        <v>331.14328382944763</v>
      </c>
      <c r="K5">
        <v>4254.5</v>
      </c>
      <c r="L5">
        <v>0</v>
      </c>
      <c r="M5">
        <v>1</v>
      </c>
      <c r="N5">
        <v>2</v>
      </c>
      <c r="P5">
        <f t="shared" si="0"/>
        <v>740.37284811002849</v>
      </c>
    </row>
    <row r="6" spans="1:16" x14ac:dyDescent="0.2">
      <c r="A6">
        <v>5171.6000000000004</v>
      </c>
      <c r="B6">
        <v>4</v>
      </c>
      <c r="C6">
        <v>2</v>
      </c>
      <c r="D6">
        <v>2</v>
      </c>
      <c r="E6">
        <v>163.75</v>
      </c>
      <c r="F6">
        <v>117.11</v>
      </c>
      <c r="G6">
        <v>26</v>
      </c>
      <c r="I6">
        <f t="shared" si="1"/>
        <v>336.01479408367123</v>
      </c>
      <c r="K6">
        <v>5236.1000000000004</v>
      </c>
      <c r="L6">
        <v>1</v>
      </c>
      <c r="M6">
        <v>1</v>
      </c>
      <c r="N6">
        <v>2</v>
      </c>
      <c r="P6">
        <f t="shared" si="0"/>
        <v>804.65055281320565</v>
      </c>
    </row>
    <row r="7" spans="1:16" x14ac:dyDescent="0.2">
      <c r="A7">
        <v>6348.9</v>
      </c>
      <c r="B7">
        <v>6</v>
      </c>
      <c r="C7">
        <v>0</v>
      </c>
      <c r="D7">
        <v>3</v>
      </c>
      <c r="E7">
        <v>163.75</v>
      </c>
      <c r="F7">
        <v>117.11</v>
      </c>
      <c r="G7">
        <v>26</v>
      </c>
      <c r="I7">
        <f t="shared" si="1"/>
        <v>330.5424237259449</v>
      </c>
      <c r="K7">
        <v>6149.8</v>
      </c>
      <c r="L7">
        <v>2</v>
      </c>
      <c r="M7">
        <v>0</v>
      </c>
      <c r="N7">
        <v>2</v>
      </c>
      <c r="P7">
        <f t="shared" si="0"/>
        <v>852.11322602507312</v>
      </c>
    </row>
    <row r="10" spans="1:16" x14ac:dyDescent="0.2">
      <c r="A10" t="s">
        <v>14</v>
      </c>
    </row>
    <row r="11" spans="1:16" x14ac:dyDescent="0.2">
      <c r="A11" t="s">
        <v>15</v>
      </c>
    </row>
    <row r="12" spans="1:16" x14ac:dyDescent="0.2">
      <c r="A12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0045-438C-1B4C-A929-C920D017E50A}">
  <dimension ref="A1:P7"/>
  <sheetViews>
    <sheetView zoomScale="130" zoomScaleNormal="130" workbookViewId="0">
      <selection activeCell="P1" sqref="P1"/>
    </sheetView>
  </sheetViews>
  <sheetFormatPr baseColWidth="10" defaultRowHeight="16" x14ac:dyDescent="0.2"/>
  <sheetData>
    <row r="1" spans="1:16" x14ac:dyDescent="0.2">
      <c r="A1" t="s">
        <v>3</v>
      </c>
      <c r="B1" t="s">
        <v>4</v>
      </c>
      <c r="C1" t="s">
        <v>6</v>
      </c>
      <c r="D1" t="s">
        <v>5</v>
      </c>
      <c r="E1" t="s">
        <v>0</v>
      </c>
      <c r="F1" t="s">
        <v>1</v>
      </c>
      <c r="G1" t="s">
        <v>2</v>
      </c>
      <c r="H1" t="s">
        <v>7</v>
      </c>
      <c r="I1" t="s">
        <v>13</v>
      </c>
      <c r="K1" t="s">
        <v>8</v>
      </c>
      <c r="L1" t="s">
        <v>9</v>
      </c>
      <c r="M1" t="s">
        <v>10</v>
      </c>
      <c r="O1" t="s">
        <v>7</v>
      </c>
      <c r="P1" t="s">
        <v>19</v>
      </c>
    </row>
    <row r="2" spans="1:16" x14ac:dyDescent="0.2">
      <c r="A2">
        <v>1584.4</v>
      </c>
      <c r="B2">
        <v>0</v>
      </c>
      <c r="C2">
        <v>1</v>
      </c>
      <c r="D2">
        <v>1</v>
      </c>
      <c r="E2">
        <v>119.07</v>
      </c>
      <c r="F2">
        <v>109.4</v>
      </c>
      <c r="G2">
        <v>25</v>
      </c>
      <c r="H2">
        <v>29.7</v>
      </c>
      <c r="I2">
        <f>2*A2*(1/(((B2^2)/((E2/1000)^2))+((C2^2)/((F2/1000)^2))+((D2^2)/(G2/100)^2)))^0.5</f>
        <v>317.58959486938255</v>
      </c>
      <c r="K2">
        <v>1397.9</v>
      </c>
      <c r="L2">
        <v>1</v>
      </c>
      <c r="M2">
        <v>0</v>
      </c>
      <c r="N2">
        <v>1</v>
      </c>
      <c r="O2">
        <v>27.8</v>
      </c>
      <c r="P2">
        <f>2*K2*(1/(((L2^2)/((E2/1000)^2))+((M2^2)/((F2/1000)^2))+((N2^2)/(G2/100)^2)))^0.5</f>
        <v>300.54812541902305</v>
      </c>
    </row>
    <row r="3" spans="1:16" x14ac:dyDescent="0.2">
      <c r="A3">
        <v>2289.9</v>
      </c>
      <c r="B3">
        <v>2</v>
      </c>
      <c r="C3">
        <v>0</v>
      </c>
      <c r="D3">
        <v>1</v>
      </c>
      <c r="E3">
        <v>119.07</v>
      </c>
      <c r="F3">
        <v>109.4</v>
      </c>
      <c r="G3">
        <v>25</v>
      </c>
      <c r="I3">
        <f t="shared" ref="I3:I7" si="0">2*A3*(1/(((B3^2)/((E3/1000)^2))+((C3^2)/((F3/1000)^2))+((D3^2)/(G3/100)^2)))^0.5</f>
        <v>265.24110378003695</v>
      </c>
      <c r="K3">
        <v>2095.1999999999998</v>
      </c>
      <c r="L3">
        <v>1</v>
      </c>
      <c r="M3">
        <v>1</v>
      </c>
      <c r="N3">
        <v>1</v>
      </c>
      <c r="P3">
        <f t="shared" ref="P2:P7" si="1">2*K3*(1/(((L3^2)/((E3/1000)^2))+((M3^2)/((F3/1000)^2))+((N3^2)/(G3/100)^2)))^0.5</f>
        <v>321.30669564735268</v>
      </c>
    </row>
    <row r="4" spans="1:16" x14ac:dyDescent="0.2">
      <c r="A4">
        <v>3307</v>
      </c>
      <c r="B4">
        <v>2</v>
      </c>
      <c r="C4">
        <v>1</v>
      </c>
      <c r="D4">
        <v>1</v>
      </c>
      <c r="E4">
        <v>119.07</v>
      </c>
      <c r="F4">
        <v>109.4</v>
      </c>
      <c r="G4">
        <v>25</v>
      </c>
      <c r="I4">
        <f t="shared" si="0"/>
        <v>338.54016132074707</v>
      </c>
      <c r="K4">
        <v>3679.8</v>
      </c>
      <c r="L4">
        <v>1</v>
      </c>
      <c r="M4">
        <v>1</v>
      </c>
      <c r="N4">
        <v>1</v>
      </c>
      <c r="P4">
        <f t="shared" si="1"/>
        <v>564.31098637033631</v>
      </c>
    </row>
    <row r="5" spans="1:16" x14ac:dyDescent="0.2">
      <c r="A5">
        <v>4649.7</v>
      </c>
      <c r="B5">
        <v>3</v>
      </c>
      <c r="C5">
        <v>1</v>
      </c>
      <c r="D5">
        <v>2</v>
      </c>
      <c r="E5">
        <v>119.07</v>
      </c>
      <c r="F5">
        <v>109.4</v>
      </c>
      <c r="G5">
        <v>25</v>
      </c>
      <c r="I5">
        <f t="shared" si="0"/>
        <v>332.47042395711503</v>
      </c>
      <c r="K5">
        <v>4218.2</v>
      </c>
      <c r="L5">
        <v>1</v>
      </c>
      <c r="M5">
        <v>0</v>
      </c>
      <c r="N5">
        <v>2</v>
      </c>
      <c r="P5">
        <f t="shared" si="1"/>
        <v>727.34754922767502</v>
      </c>
    </row>
    <row r="6" spans="1:16" x14ac:dyDescent="0.2">
      <c r="A6">
        <v>5363</v>
      </c>
      <c r="B6">
        <v>3</v>
      </c>
      <c r="C6">
        <v>2</v>
      </c>
      <c r="D6">
        <v>2</v>
      </c>
      <c r="E6">
        <v>119.07</v>
      </c>
      <c r="F6">
        <v>109.4</v>
      </c>
      <c r="G6">
        <v>25</v>
      </c>
      <c r="I6">
        <f t="shared" si="0"/>
        <v>333.7215888461995</v>
      </c>
      <c r="K6">
        <v>6239.4</v>
      </c>
      <c r="L6">
        <v>1</v>
      </c>
      <c r="M6">
        <v>1</v>
      </c>
      <c r="N6">
        <v>2</v>
      </c>
      <c r="P6">
        <f t="shared" si="1"/>
        <v>845.00216605152593</v>
      </c>
    </row>
    <row r="7" spans="1:16" x14ac:dyDescent="0.2">
      <c r="A7">
        <v>6303</v>
      </c>
      <c r="B7">
        <v>2</v>
      </c>
      <c r="C7">
        <v>4</v>
      </c>
      <c r="D7">
        <v>3</v>
      </c>
      <c r="E7">
        <v>119.07</v>
      </c>
      <c r="F7">
        <v>109.4</v>
      </c>
      <c r="G7">
        <v>25</v>
      </c>
      <c r="I7">
        <f t="shared" si="0"/>
        <v>300.22864131549142</v>
      </c>
      <c r="K7">
        <v>8457.2000000000007</v>
      </c>
      <c r="L7">
        <v>2</v>
      </c>
      <c r="M7">
        <v>0</v>
      </c>
      <c r="N7">
        <v>2</v>
      </c>
      <c r="P7">
        <f t="shared" si="1"/>
        <v>909.14786690527285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0BACD-333E-744B-9ED6-DE0F6450F8F6}">
  <dimension ref="A1:P9"/>
  <sheetViews>
    <sheetView workbookViewId="0">
      <selection activeCell="P1" sqref="P1"/>
    </sheetView>
  </sheetViews>
  <sheetFormatPr baseColWidth="10" defaultRowHeight="16" x14ac:dyDescent="0.2"/>
  <sheetData>
    <row r="1" spans="1:16" x14ac:dyDescent="0.2">
      <c r="A1" s="1" t="s">
        <v>3</v>
      </c>
      <c r="B1" s="1" t="s">
        <v>4</v>
      </c>
      <c r="C1" s="1" t="s">
        <v>6</v>
      </c>
      <c r="D1" s="1" t="s">
        <v>5</v>
      </c>
      <c r="E1" s="1" t="s">
        <v>0</v>
      </c>
      <c r="F1" s="1" t="s">
        <v>1</v>
      </c>
      <c r="G1" s="1" t="s">
        <v>2</v>
      </c>
      <c r="H1" s="1" t="s">
        <v>7</v>
      </c>
      <c r="I1" t="s">
        <v>13</v>
      </c>
      <c r="K1" s="1" t="s">
        <v>8</v>
      </c>
      <c r="L1" s="1" t="s">
        <v>9</v>
      </c>
      <c r="M1" s="1" t="s">
        <v>10</v>
      </c>
      <c r="N1" s="1" t="s">
        <v>9</v>
      </c>
      <c r="O1" s="1" t="s">
        <v>7</v>
      </c>
      <c r="P1" t="s">
        <v>19</v>
      </c>
    </row>
    <row r="2" spans="1:16" x14ac:dyDescent="0.2">
      <c r="A2">
        <v>1459.1</v>
      </c>
      <c r="B2">
        <v>0</v>
      </c>
      <c r="C2">
        <v>1</v>
      </c>
      <c r="D2">
        <v>1</v>
      </c>
      <c r="E2">
        <v>162.61000000000001</v>
      </c>
      <c r="F2">
        <v>118.57</v>
      </c>
      <c r="G2">
        <v>74.5</v>
      </c>
      <c r="H2">
        <v>30</v>
      </c>
      <c r="I2">
        <f>2*A2*(1/(((B2^2)/((E2/1000)^2))+((C2^2)/((F2/1000)^2))+((D2^2)/(G2/100)^2)))^0.5</f>
        <v>341.71025868272045</v>
      </c>
      <c r="K2">
        <v>3630</v>
      </c>
      <c r="L2">
        <v>2</v>
      </c>
      <c r="M2">
        <v>1</v>
      </c>
      <c r="N2">
        <v>1</v>
      </c>
      <c r="O2">
        <v>27.9</v>
      </c>
      <c r="P2">
        <f>2*K2*(1/(((L2^2)/((E2/1000)^2))+((M2^2)/((F2/1000)^2))+((N2^2)/(G2/100)^2)))^0.5</f>
        <v>484.85654133805707</v>
      </c>
    </row>
    <row r="3" spans="1:16" x14ac:dyDescent="0.2">
      <c r="A3">
        <v>2113.6</v>
      </c>
      <c r="B3">
        <v>2</v>
      </c>
      <c r="C3">
        <v>0</v>
      </c>
      <c r="D3">
        <v>1</v>
      </c>
      <c r="E3">
        <v>162.61000000000001</v>
      </c>
      <c r="F3">
        <v>118.57</v>
      </c>
      <c r="G3">
        <v>74.5</v>
      </c>
      <c r="I3">
        <f t="shared" ref="I3:I8" si="0">2*A3*(1/(((B3^2)/((E3/1000)^2))+((C3^2)/((F3/1000)^2))+((D3^2)/(G3/100)^2)))^0.5</f>
        <v>341.66386242590022</v>
      </c>
      <c r="K3">
        <v>4679.7</v>
      </c>
      <c r="L3">
        <v>1</v>
      </c>
      <c r="M3">
        <v>0</v>
      </c>
      <c r="N3">
        <v>2</v>
      </c>
      <c r="P3">
        <f t="shared" ref="P3:P6" si="1">2*K3*(1/(((L3^2)/((E3/1000)^2))+((M3^2)/((F3/1000)^2))+((N3^2)/(G3/100)^2)))^0.5</f>
        <v>1394.8220306320657</v>
      </c>
    </row>
    <row r="4" spans="1:16" x14ac:dyDescent="0.2">
      <c r="A4">
        <v>3093.7</v>
      </c>
      <c r="B4">
        <v>1</v>
      </c>
      <c r="C4">
        <v>2</v>
      </c>
      <c r="D4">
        <v>2</v>
      </c>
      <c r="E4">
        <v>162.61000000000001</v>
      </c>
      <c r="F4">
        <v>118.57</v>
      </c>
      <c r="G4">
        <v>74.5</v>
      </c>
      <c r="I4">
        <f t="shared" si="0"/>
        <v>340.84079182953786</v>
      </c>
      <c r="K4">
        <v>5972.6</v>
      </c>
      <c r="L4">
        <v>1</v>
      </c>
      <c r="M4">
        <v>0</v>
      </c>
      <c r="N4">
        <v>3</v>
      </c>
      <c r="P4">
        <f t="shared" si="1"/>
        <v>1625.0229662535132</v>
      </c>
    </row>
    <row r="5" spans="1:16" x14ac:dyDescent="0.2">
      <c r="A5">
        <v>4202.8999999999996</v>
      </c>
      <c r="B5">
        <v>3</v>
      </c>
      <c r="C5">
        <v>1</v>
      </c>
      <c r="D5">
        <v>2</v>
      </c>
      <c r="E5">
        <v>162.61000000000001</v>
      </c>
      <c r="F5">
        <v>118.57</v>
      </c>
      <c r="G5">
        <v>74.5</v>
      </c>
      <c r="I5">
        <f t="shared" si="0"/>
        <v>410.79536771873529</v>
      </c>
      <c r="K5">
        <v>6339.4</v>
      </c>
      <c r="L5">
        <v>1</v>
      </c>
      <c r="M5">
        <v>0</v>
      </c>
      <c r="N5">
        <v>4</v>
      </c>
      <c r="P5">
        <f t="shared" si="1"/>
        <v>1553.068700580586</v>
      </c>
    </row>
    <row r="6" spans="1:16" x14ac:dyDescent="0.2">
      <c r="A6">
        <v>5329.5</v>
      </c>
      <c r="B6">
        <v>2</v>
      </c>
      <c r="C6">
        <v>1</v>
      </c>
      <c r="D6">
        <v>3</v>
      </c>
      <c r="E6">
        <v>162.61000000000001</v>
      </c>
      <c r="F6">
        <v>118.57</v>
      </c>
      <c r="G6">
        <v>74.5</v>
      </c>
      <c r="I6">
        <f t="shared" si="0"/>
        <v>690.02288356966665</v>
      </c>
    </row>
    <row r="7" spans="1:16" x14ac:dyDescent="0.2">
      <c r="A7">
        <v>6306.5</v>
      </c>
      <c r="B7">
        <v>3</v>
      </c>
      <c r="C7">
        <v>0</v>
      </c>
      <c r="D7">
        <v>4</v>
      </c>
      <c r="E7">
        <v>162.61000000000001</v>
      </c>
      <c r="F7">
        <v>118.57</v>
      </c>
      <c r="G7">
        <v>74.5</v>
      </c>
      <c r="I7">
        <f t="shared" si="0"/>
        <v>656.43315333051396</v>
      </c>
    </row>
    <row r="8" spans="1:16" x14ac:dyDescent="0.2">
      <c r="A8">
        <v>7094.8</v>
      </c>
      <c r="B8">
        <v>4</v>
      </c>
      <c r="C8">
        <v>0</v>
      </c>
      <c r="D8">
        <v>4</v>
      </c>
      <c r="E8">
        <v>162.61000000000001</v>
      </c>
      <c r="F8">
        <v>118.57</v>
      </c>
      <c r="G8">
        <v>74.5</v>
      </c>
      <c r="I8">
        <f t="shared" si="0"/>
        <v>563.57425241199246</v>
      </c>
    </row>
    <row r="9" spans="1:16" x14ac:dyDescent="0.2">
      <c r="J9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D9E1F-8F1D-024B-A912-FD7098CE38E2}">
  <dimension ref="A1:P9"/>
  <sheetViews>
    <sheetView workbookViewId="0">
      <selection activeCell="P1" sqref="P1"/>
    </sheetView>
  </sheetViews>
  <sheetFormatPr baseColWidth="10" defaultRowHeight="16" x14ac:dyDescent="0.2"/>
  <sheetData>
    <row r="1" spans="1:16" x14ac:dyDescent="0.2">
      <c r="A1" s="1" t="s">
        <v>3</v>
      </c>
      <c r="B1" s="1" t="s">
        <v>4</v>
      </c>
      <c r="C1" s="1" t="s">
        <v>6</v>
      </c>
      <c r="D1" s="1" t="s">
        <v>5</v>
      </c>
      <c r="E1" s="1" t="s">
        <v>0</v>
      </c>
      <c r="F1" s="1" t="s">
        <v>1</v>
      </c>
      <c r="G1" s="1" t="s">
        <v>2</v>
      </c>
      <c r="H1" s="1" t="s">
        <v>7</v>
      </c>
      <c r="I1" t="s">
        <v>13</v>
      </c>
      <c r="K1" s="1" t="s">
        <v>8</v>
      </c>
      <c r="L1" s="1" t="s">
        <v>9</v>
      </c>
      <c r="M1" s="1" t="s">
        <v>10</v>
      </c>
      <c r="O1" s="1" t="s">
        <v>7</v>
      </c>
      <c r="P1" t="s">
        <v>19</v>
      </c>
    </row>
    <row r="2" spans="1:16" x14ac:dyDescent="0.2">
      <c r="A2">
        <v>1237.0999999999999</v>
      </c>
      <c r="B2">
        <v>1</v>
      </c>
      <c r="C2">
        <v>0</v>
      </c>
      <c r="D2">
        <v>0</v>
      </c>
      <c r="E2">
        <v>136.38999999999999</v>
      </c>
      <c r="F2">
        <v>66.930000000000007</v>
      </c>
      <c r="G2">
        <v>66.5</v>
      </c>
      <c r="H2">
        <v>30.1</v>
      </c>
      <c r="I2">
        <f>2*A2*(1/(((B2^2)/((E2/1000)^2))+((C2^2)/((F2/1000)^2))+((D2^2)/(G2/100)^2)))^0.5</f>
        <v>337.45613799999995</v>
      </c>
      <c r="K2">
        <v>3479.5</v>
      </c>
      <c r="L2">
        <v>1</v>
      </c>
      <c r="M2">
        <v>0</v>
      </c>
      <c r="N2">
        <v>1</v>
      </c>
      <c r="P2">
        <f>2*K2*(1/(((L2^2)/((E2/1000)^2))+((M2^2)/((F2/1000)^2))+((N2^2)/(G2/100)^2)))^0.5</f>
        <v>929.78373252183371</v>
      </c>
    </row>
    <row r="3" spans="1:16" x14ac:dyDescent="0.2">
      <c r="A3">
        <v>2077.8000000000002</v>
      </c>
      <c r="B3">
        <v>1</v>
      </c>
      <c r="C3">
        <v>0</v>
      </c>
      <c r="D3">
        <v>1</v>
      </c>
      <c r="E3">
        <v>136.38999999999999</v>
      </c>
      <c r="F3">
        <v>66.930000000000007</v>
      </c>
      <c r="G3">
        <v>66.5</v>
      </c>
      <c r="I3">
        <f t="shared" ref="I3:I9" si="0">2*A3*(1/(((B3^2)/((E3/1000)^2))+((C3^2)/((F3/1000)^2))+((D3^2)/(G3/100)^2)))^0.5</f>
        <v>555.22478500757757</v>
      </c>
      <c r="K3">
        <v>4892.2</v>
      </c>
      <c r="L3">
        <v>0</v>
      </c>
      <c r="M3">
        <v>0</v>
      </c>
      <c r="N3">
        <v>1</v>
      </c>
      <c r="P3">
        <f>2*K3*(1/(((L3^2)/((E3/1000)^2))+((M3^2)/((F3/1000)^2))+((N3^2)/(G3/100)^2)))^0.5</f>
        <v>6506.6260000000002</v>
      </c>
    </row>
    <row r="4" spans="1:16" x14ac:dyDescent="0.2">
      <c r="A4">
        <v>3306.2</v>
      </c>
      <c r="B4">
        <v>1</v>
      </c>
      <c r="C4">
        <v>1</v>
      </c>
      <c r="D4">
        <v>1</v>
      </c>
      <c r="E4">
        <v>136.38999999999999</v>
      </c>
      <c r="F4">
        <v>66.930000000000007</v>
      </c>
      <c r="G4">
        <v>66.5</v>
      </c>
      <c r="I4">
        <f t="shared" si="0"/>
        <v>395.69589754757294</v>
      </c>
      <c r="K4">
        <v>5820.9</v>
      </c>
      <c r="L4">
        <v>1</v>
      </c>
      <c r="M4">
        <v>0</v>
      </c>
      <c r="N4">
        <v>1</v>
      </c>
      <c r="P4">
        <f t="shared" ref="P3:P8" si="1">2*K4*(1/(((L4^2)/((E4/1000)^2))+((M4^2)/((F4/1000)^2))+((N4^2)/(G4/100)^2)))^0.5</f>
        <v>1555.4470839592877</v>
      </c>
    </row>
    <row r="5" spans="1:16" x14ac:dyDescent="0.2">
      <c r="A5">
        <v>4294.8</v>
      </c>
      <c r="B5">
        <v>2</v>
      </c>
      <c r="C5">
        <v>0</v>
      </c>
      <c r="D5">
        <v>1</v>
      </c>
      <c r="E5">
        <v>136.38999999999999</v>
      </c>
      <c r="F5">
        <v>66.930000000000007</v>
      </c>
      <c r="G5">
        <v>66.5</v>
      </c>
      <c r="I5">
        <f t="shared" si="0"/>
        <v>582.71180762903373</v>
      </c>
      <c r="K5">
        <v>6422.9</v>
      </c>
      <c r="L5">
        <v>1</v>
      </c>
      <c r="M5">
        <v>0</v>
      </c>
      <c r="N5">
        <v>2</v>
      </c>
      <c r="P5">
        <f t="shared" si="1"/>
        <v>1620.965863085547</v>
      </c>
    </row>
    <row r="6" spans="1:16" x14ac:dyDescent="0.2">
      <c r="A6">
        <v>5454.3</v>
      </c>
      <c r="B6">
        <v>0</v>
      </c>
      <c r="C6">
        <v>2</v>
      </c>
      <c r="D6">
        <v>2</v>
      </c>
      <c r="E6">
        <v>136.38999999999999</v>
      </c>
      <c r="F6">
        <v>66.930000000000007</v>
      </c>
      <c r="G6">
        <v>66.5</v>
      </c>
      <c r="I6">
        <f t="shared" si="0"/>
        <v>363.22126564425787</v>
      </c>
      <c r="K6">
        <v>7100.8</v>
      </c>
      <c r="L6">
        <v>2</v>
      </c>
      <c r="M6">
        <v>0</v>
      </c>
      <c r="N6">
        <v>2</v>
      </c>
      <c r="P6">
        <f t="shared" si="1"/>
        <v>948.72946226340525</v>
      </c>
    </row>
    <row r="7" spans="1:16" x14ac:dyDescent="0.2">
      <c r="A7">
        <v>6120.5</v>
      </c>
      <c r="B7">
        <v>3</v>
      </c>
      <c r="C7">
        <v>0</v>
      </c>
      <c r="D7">
        <v>2</v>
      </c>
      <c r="E7">
        <v>136.38999999999999</v>
      </c>
      <c r="F7">
        <v>66.930000000000007</v>
      </c>
      <c r="G7">
        <v>66.5</v>
      </c>
      <c r="I7">
        <f t="shared" si="0"/>
        <v>551.38628432481767</v>
      </c>
      <c r="K7">
        <v>8320.2999999999993</v>
      </c>
      <c r="L7">
        <v>1</v>
      </c>
      <c r="M7">
        <v>1</v>
      </c>
      <c r="N7">
        <v>2</v>
      </c>
      <c r="P7">
        <f t="shared" si="1"/>
        <v>983.91886955248287</v>
      </c>
    </row>
    <row r="8" spans="1:16" x14ac:dyDescent="0.2">
      <c r="A8">
        <v>7106.8</v>
      </c>
      <c r="B8">
        <v>4</v>
      </c>
      <c r="C8">
        <v>1</v>
      </c>
      <c r="D8">
        <v>3</v>
      </c>
      <c r="E8">
        <v>136.38999999999999</v>
      </c>
      <c r="F8">
        <v>66.930000000000007</v>
      </c>
      <c r="G8">
        <v>66.5</v>
      </c>
      <c r="I8">
        <f t="shared" si="0"/>
        <v>427.83791374715418</v>
      </c>
      <c r="K8">
        <v>9553.4</v>
      </c>
      <c r="L8">
        <v>1</v>
      </c>
      <c r="M8">
        <v>1</v>
      </c>
      <c r="N8">
        <v>2</v>
      </c>
      <c r="P8">
        <f t="shared" si="1"/>
        <v>1129.7393757896577</v>
      </c>
    </row>
    <row r="9" spans="1:16" x14ac:dyDescent="0.2">
      <c r="A9">
        <v>8328.4</v>
      </c>
      <c r="B9">
        <v>2</v>
      </c>
      <c r="C9">
        <v>1</v>
      </c>
      <c r="D9">
        <v>4</v>
      </c>
      <c r="E9">
        <v>136.38999999999999</v>
      </c>
      <c r="F9">
        <v>66.930000000000007</v>
      </c>
      <c r="G9">
        <v>66.5</v>
      </c>
      <c r="I9">
        <f t="shared" si="0"/>
        <v>764.71601317806142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3FE3E-AACF-254D-93BD-7D64508A8A61}">
  <dimension ref="A1:P8"/>
  <sheetViews>
    <sheetView workbookViewId="0">
      <selection activeCell="P1" sqref="P1"/>
    </sheetView>
  </sheetViews>
  <sheetFormatPr baseColWidth="10" defaultRowHeight="16" x14ac:dyDescent="0.2"/>
  <sheetData>
    <row r="1" spans="1:16" x14ac:dyDescent="0.2">
      <c r="A1" s="1" t="s">
        <v>3</v>
      </c>
      <c r="B1" s="1" t="s">
        <v>4</v>
      </c>
      <c r="C1" s="1" t="s">
        <v>6</v>
      </c>
      <c r="D1" s="1" t="s">
        <v>5</v>
      </c>
      <c r="E1" s="1" t="s">
        <v>0</v>
      </c>
      <c r="F1" s="1" t="s">
        <v>1</v>
      </c>
      <c r="G1" s="1" t="s">
        <v>2</v>
      </c>
      <c r="H1" s="1" t="s">
        <v>7</v>
      </c>
      <c r="I1" t="s">
        <v>13</v>
      </c>
      <c r="K1" s="1" t="s">
        <v>8</v>
      </c>
      <c r="L1" s="1" t="s">
        <v>9</v>
      </c>
      <c r="M1" s="1" t="s">
        <v>10</v>
      </c>
      <c r="N1" s="1" t="s">
        <v>17</v>
      </c>
      <c r="O1" s="1" t="s">
        <v>7</v>
      </c>
      <c r="P1" t="s">
        <v>19</v>
      </c>
    </row>
    <row r="2" spans="1:16" x14ac:dyDescent="0.2">
      <c r="A2">
        <v>1262.8</v>
      </c>
      <c r="B2">
        <v>1</v>
      </c>
      <c r="C2">
        <v>0</v>
      </c>
      <c r="D2">
        <v>0</v>
      </c>
      <c r="E2">
        <v>136.18</v>
      </c>
      <c r="F2">
        <v>99.04</v>
      </c>
      <c r="G2">
        <v>68</v>
      </c>
      <c r="H2">
        <v>30</v>
      </c>
      <c r="I2">
        <f>2*A2*(1/(((B2^2)/((E2/1000)^2))+((C2^2)/((F2/1000)^2))+((D2^2)/(G2/100)^2)))^0.5</f>
        <v>343.93620799999997</v>
      </c>
      <c r="K2">
        <v>1916.4</v>
      </c>
      <c r="L2">
        <v>1</v>
      </c>
      <c r="M2">
        <v>0</v>
      </c>
      <c r="N2">
        <v>1</v>
      </c>
      <c r="O2">
        <v>28.4</v>
      </c>
      <c r="P2">
        <f>2*K2*(1/(((L2^2)/((E2/1000)^2))+((M2^2)/((F2/1000)^2))+((N2^2)/(G2/100)^2)))^0.5</f>
        <v>511.78870483649195</v>
      </c>
    </row>
    <row r="3" spans="1:16" x14ac:dyDescent="0.2">
      <c r="A3">
        <v>2158.9</v>
      </c>
      <c r="B3">
        <v>1</v>
      </c>
      <c r="C3">
        <v>1</v>
      </c>
      <c r="D3">
        <v>1</v>
      </c>
      <c r="E3">
        <v>136.18</v>
      </c>
      <c r="F3">
        <v>99.04</v>
      </c>
      <c r="G3">
        <v>68</v>
      </c>
      <c r="I3">
        <f t="shared" ref="I3:I8" si="0">2*A3*(1/(((B3^2)/((E3/1000)^2))+((C3^2)/((F3/1000)^2))+((D3^2)/(G3/100)^2)))^0.5</f>
        <v>343.4692614939143</v>
      </c>
      <c r="K3">
        <v>2743.5</v>
      </c>
      <c r="L3">
        <v>1</v>
      </c>
      <c r="M3">
        <v>0</v>
      </c>
      <c r="N3">
        <v>1</v>
      </c>
      <c r="P3">
        <f t="shared" ref="P3:P7" si="1">2*K3*(1/(((L3^2)/((E3/1000)^2))+((M3^2)/((F3/1000)^2))+((N3^2)/(G3/100)^2)))^0.5</f>
        <v>732.67183871786449</v>
      </c>
    </row>
    <row r="4" spans="1:16" x14ac:dyDescent="0.2">
      <c r="A4">
        <v>3100.2</v>
      </c>
      <c r="B4">
        <v>0</v>
      </c>
      <c r="C4">
        <v>1</v>
      </c>
      <c r="D4">
        <v>2</v>
      </c>
      <c r="E4">
        <v>136.18</v>
      </c>
      <c r="F4">
        <v>99.04</v>
      </c>
      <c r="G4">
        <v>68</v>
      </c>
      <c r="I4">
        <f t="shared" si="0"/>
        <v>589.58311815263812</v>
      </c>
      <c r="K4">
        <v>3566.2</v>
      </c>
      <c r="L4">
        <v>0</v>
      </c>
      <c r="M4">
        <v>1</v>
      </c>
      <c r="N4">
        <v>1</v>
      </c>
      <c r="P4">
        <f t="shared" si="1"/>
        <v>699.01764995765575</v>
      </c>
    </row>
    <row r="5" spans="1:16" x14ac:dyDescent="0.2">
      <c r="A5">
        <v>4015.3</v>
      </c>
      <c r="B5">
        <v>2</v>
      </c>
      <c r="C5">
        <v>1</v>
      </c>
      <c r="D5">
        <v>3</v>
      </c>
      <c r="E5">
        <v>136.18</v>
      </c>
      <c r="F5">
        <v>99.04</v>
      </c>
      <c r="G5">
        <v>68</v>
      </c>
      <c r="I5">
        <f t="shared" si="0"/>
        <v>437.38761086747735</v>
      </c>
      <c r="K5">
        <v>4199.7</v>
      </c>
      <c r="L5">
        <v>0</v>
      </c>
      <c r="M5">
        <v>1</v>
      </c>
      <c r="N5">
        <v>1</v>
      </c>
      <c r="P5">
        <f t="shared" si="1"/>
        <v>823.19119077089533</v>
      </c>
    </row>
    <row r="6" spans="1:16" x14ac:dyDescent="0.2">
      <c r="A6">
        <v>5433.8</v>
      </c>
      <c r="B6">
        <v>0</v>
      </c>
      <c r="C6">
        <v>1</v>
      </c>
      <c r="D6">
        <v>3</v>
      </c>
      <c r="E6">
        <v>136.18</v>
      </c>
      <c r="F6">
        <v>99.04</v>
      </c>
      <c r="G6">
        <v>68</v>
      </c>
      <c r="I6">
        <f t="shared" si="0"/>
        <v>986.28725594129162</v>
      </c>
      <c r="K6">
        <v>5342.4</v>
      </c>
      <c r="L6">
        <v>1</v>
      </c>
      <c r="M6">
        <v>1</v>
      </c>
      <c r="N6">
        <v>2</v>
      </c>
      <c r="P6">
        <f t="shared" si="1"/>
        <v>833.01946484363043</v>
      </c>
    </row>
    <row r="7" spans="1:16" x14ac:dyDescent="0.2">
      <c r="A7">
        <v>6317</v>
      </c>
      <c r="B7">
        <v>2</v>
      </c>
      <c r="C7">
        <v>2</v>
      </c>
      <c r="D7">
        <v>3</v>
      </c>
      <c r="E7">
        <v>136.18</v>
      </c>
      <c r="F7">
        <v>99.04</v>
      </c>
      <c r="G7">
        <v>68</v>
      </c>
      <c r="I7">
        <f t="shared" si="0"/>
        <v>498.2567259284358</v>
      </c>
      <c r="K7">
        <v>6282</v>
      </c>
      <c r="L7">
        <v>2</v>
      </c>
      <c r="M7">
        <v>0</v>
      </c>
      <c r="N7">
        <v>2</v>
      </c>
      <c r="P7">
        <f t="shared" si="1"/>
        <v>838.82713519694278</v>
      </c>
    </row>
    <row r="8" spans="1:16" x14ac:dyDescent="0.2">
      <c r="A8">
        <v>7430.3</v>
      </c>
      <c r="B8">
        <v>4</v>
      </c>
      <c r="C8">
        <v>1</v>
      </c>
      <c r="D8">
        <v>3</v>
      </c>
      <c r="E8">
        <v>136.18</v>
      </c>
      <c r="F8">
        <v>99.04</v>
      </c>
      <c r="G8">
        <v>68</v>
      </c>
      <c r="I8">
        <f t="shared" si="0"/>
        <v>473.69571718579277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C4097-0D8E-A14A-A42B-8C033FAA4367}">
  <dimension ref="A1:P8"/>
  <sheetViews>
    <sheetView workbookViewId="0">
      <selection activeCell="P1" sqref="P1"/>
    </sheetView>
  </sheetViews>
  <sheetFormatPr baseColWidth="10" defaultRowHeight="16" x14ac:dyDescent="0.2"/>
  <sheetData>
    <row r="1" spans="1:16" x14ac:dyDescent="0.2">
      <c r="A1" s="1" t="s">
        <v>3</v>
      </c>
      <c r="B1" s="1" t="s">
        <v>4</v>
      </c>
      <c r="C1" s="1" t="s">
        <v>6</v>
      </c>
      <c r="D1" s="1" t="s">
        <v>5</v>
      </c>
      <c r="E1" s="1" t="s">
        <v>0</v>
      </c>
      <c r="F1" s="1" t="s">
        <v>1</v>
      </c>
      <c r="G1" s="1" t="s">
        <v>2</v>
      </c>
      <c r="H1" s="1" t="s">
        <v>7</v>
      </c>
      <c r="I1" t="s">
        <v>13</v>
      </c>
      <c r="K1" s="1" t="s">
        <v>8</v>
      </c>
      <c r="L1" s="1" t="s">
        <v>9</v>
      </c>
      <c r="M1" s="1" t="s">
        <v>10</v>
      </c>
      <c r="N1" s="1" t="s">
        <v>17</v>
      </c>
      <c r="O1" s="1" t="s">
        <v>7</v>
      </c>
      <c r="P1" t="s">
        <v>19</v>
      </c>
    </row>
    <row r="2" spans="1:16" x14ac:dyDescent="0.2">
      <c r="A2">
        <v>1876.1</v>
      </c>
      <c r="B2">
        <v>1</v>
      </c>
      <c r="C2">
        <v>1</v>
      </c>
      <c r="D2">
        <v>1</v>
      </c>
      <c r="E2">
        <v>164.03</v>
      </c>
      <c r="F2">
        <v>117.49</v>
      </c>
      <c r="G2">
        <v>53</v>
      </c>
      <c r="H2">
        <v>30</v>
      </c>
      <c r="I2">
        <f>2*A2*(1/(((B2^2)/((E2/1000)^2))+((C2^2)/((F2/1000)^2))+((D2^2)/(G2/100)^2)))^0.5</f>
        <v>352.71217661735898</v>
      </c>
      <c r="K2">
        <v>1984.1</v>
      </c>
      <c r="L2">
        <v>1</v>
      </c>
      <c r="M2">
        <v>0</v>
      </c>
      <c r="N2">
        <v>1</v>
      </c>
      <c r="P2">
        <f>2*K2*(1/(((L2^2)/((E2/1000)^2))+((M2^2)/((F2/1000)^2))+((N2^2)/(G2/100)^2)))^0.5</f>
        <v>621.80509876788233</v>
      </c>
    </row>
    <row r="3" spans="1:16" x14ac:dyDescent="0.2">
      <c r="A3">
        <v>2511.6999999999998</v>
      </c>
      <c r="B3">
        <v>2</v>
      </c>
      <c r="C3">
        <v>1</v>
      </c>
      <c r="D3">
        <v>1</v>
      </c>
      <c r="E3">
        <v>164.03</v>
      </c>
      <c r="F3">
        <v>117.49</v>
      </c>
      <c r="G3">
        <v>53</v>
      </c>
      <c r="I3">
        <f t="shared" ref="I3:I8" si="0">2*A3*(1/(((B3^2)/((E3/1000)^2))+((C3^2)/((F3/1000)^2))+((D3^2)/(G3/100)^2)))^0.5</f>
        <v>335.13927843435067</v>
      </c>
      <c r="K3">
        <v>2415.1</v>
      </c>
      <c r="L3">
        <v>1</v>
      </c>
      <c r="M3">
        <v>0</v>
      </c>
      <c r="N3">
        <v>1</v>
      </c>
      <c r="P3">
        <f t="shared" ref="P3:P8" si="1">2*K3*(1/(((L3^2)/((E3/1000)^2))+((M3^2)/((F3/1000)^2))+((N3^2)/(G3/100)^2)))^0.5</f>
        <v>756.87792653309441</v>
      </c>
    </row>
    <row r="4" spans="1:16" x14ac:dyDescent="0.2">
      <c r="A4">
        <v>3313.8</v>
      </c>
      <c r="B4">
        <v>1</v>
      </c>
      <c r="C4">
        <v>0</v>
      </c>
      <c r="D4">
        <v>3</v>
      </c>
      <c r="E4">
        <v>164.03</v>
      </c>
      <c r="F4">
        <v>117.49</v>
      </c>
      <c r="G4">
        <v>53</v>
      </c>
      <c r="I4">
        <f t="shared" si="0"/>
        <v>796.67790820527762</v>
      </c>
      <c r="K4">
        <v>3050.2</v>
      </c>
      <c r="L4">
        <v>0</v>
      </c>
      <c r="M4">
        <v>1</v>
      </c>
      <c r="N4">
        <v>1</v>
      </c>
      <c r="P4">
        <f t="shared" si="1"/>
        <v>699.74877064015948</v>
      </c>
    </row>
    <row r="5" spans="1:16" x14ac:dyDescent="0.2">
      <c r="A5">
        <v>4366.6000000000004</v>
      </c>
      <c r="B5">
        <v>0</v>
      </c>
      <c r="C5">
        <v>2</v>
      </c>
      <c r="D5">
        <v>2</v>
      </c>
      <c r="E5">
        <v>164.03</v>
      </c>
      <c r="F5">
        <v>117.49</v>
      </c>
      <c r="G5">
        <v>53</v>
      </c>
      <c r="I5">
        <f t="shared" si="0"/>
        <v>500.87256276265833</v>
      </c>
      <c r="K5">
        <v>4257.6000000000004</v>
      </c>
      <c r="L5">
        <v>1</v>
      </c>
      <c r="M5">
        <v>1</v>
      </c>
      <c r="N5">
        <v>2</v>
      </c>
      <c r="P5">
        <f t="shared" si="1"/>
        <v>765.15081075555418</v>
      </c>
    </row>
    <row r="6" spans="1:16" x14ac:dyDescent="0.2">
      <c r="A6">
        <v>5357.8</v>
      </c>
      <c r="B6">
        <v>2</v>
      </c>
      <c r="C6">
        <v>1</v>
      </c>
      <c r="D6">
        <v>2</v>
      </c>
      <c r="E6">
        <v>164.03</v>
      </c>
      <c r="F6">
        <v>117.49</v>
      </c>
      <c r="G6">
        <v>53</v>
      </c>
      <c r="I6">
        <f t="shared" si="0"/>
        <v>698.48894717597966</v>
      </c>
      <c r="K6">
        <v>5662.1</v>
      </c>
      <c r="L6">
        <v>2</v>
      </c>
      <c r="M6">
        <v>0</v>
      </c>
      <c r="N6">
        <v>2</v>
      </c>
      <c r="P6">
        <f t="shared" si="1"/>
        <v>887.23417411764194</v>
      </c>
    </row>
    <row r="7" spans="1:16" x14ac:dyDescent="0.2">
      <c r="A7">
        <v>6318</v>
      </c>
      <c r="B7">
        <v>2</v>
      </c>
      <c r="C7">
        <v>1</v>
      </c>
      <c r="D7">
        <v>2</v>
      </c>
      <c r="E7">
        <v>164.03</v>
      </c>
      <c r="F7">
        <v>117.49</v>
      </c>
      <c r="G7">
        <v>53</v>
      </c>
      <c r="I7">
        <f t="shared" si="0"/>
        <v>823.66888802453229</v>
      </c>
      <c r="K7">
        <v>7008.6</v>
      </c>
      <c r="L7">
        <v>2</v>
      </c>
      <c r="M7">
        <v>1</v>
      </c>
      <c r="N7">
        <v>2</v>
      </c>
      <c r="P7">
        <f t="shared" si="1"/>
        <v>913.70145118846756</v>
      </c>
    </row>
    <row r="8" spans="1:16" x14ac:dyDescent="0.2">
      <c r="A8">
        <v>7350.8</v>
      </c>
      <c r="B8">
        <v>2</v>
      </c>
      <c r="C8">
        <v>1</v>
      </c>
      <c r="D8">
        <v>3</v>
      </c>
      <c r="E8">
        <v>164.03</v>
      </c>
      <c r="F8">
        <v>117.49</v>
      </c>
      <c r="G8">
        <v>53</v>
      </c>
      <c r="I8">
        <f t="shared" si="0"/>
        <v>924.00821693703415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29678-F1ED-7942-9200-D8F6ED4A912F}">
  <dimension ref="A1:P8"/>
  <sheetViews>
    <sheetView workbookViewId="0">
      <selection activeCell="I1" sqref="I1"/>
    </sheetView>
  </sheetViews>
  <sheetFormatPr baseColWidth="10" defaultRowHeight="16" x14ac:dyDescent="0.2"/>
  <sheetData>
    <row r="1" spans="1:16" x14ac:dyDescent="0.2">
      <c r="A1" s="1" t="s">
        <v>3</v>
      </c>
      <c r="B1" s="1" t="s">
        <v>4</v>
      </c>
      <c r="C1" s="1" t="s">
        <v>6</v>
      </c>
      <c r="D1" s="1" t="s">
        <v>5</v>
      </c>
      <c r="E1" s="1" t="s">
        <v>0</v>
      </c>
      <c r="F1" s="1" t="s">
        <v>1</v>
      </c>
      <c r="G1" s="1" t="s">
        <v>2</v>
      </c>
      <c r="H1" s="1" t="s">
        <v>7</v>
      </c>
      <c r="I1" s="1" t="s">
        <v>13</v>
      </c>
      <c r="K1" s="1" t="s">
        <v>8</v>
      </c>
      <c r="L1" s="1" t="s">
        <v>9</v>
      </c>
      <c r="M1" s="1" t="s">
        <v>10</v>
      </c>
      <c r="N1" s="1" t="s">
        <v>17</v>
      </c>
      <c r="O1" s="1" t="s">
        <v>7</v>
      </c>
      <c r="P1" s="1" t="s">
        <v>19</v>
      </c>
    </row>
    <row r="2" spans="1:16" x14ac:dyDescent="0.2">
      <c r="A2">
        <v>1285.2</v>
      </c>
      <c r="B2">
        <v>1</v>
      </c>
      <c r="C2">
        <v>0</v>
      </c>
      <c r="D2">
        <v>0</v>
      </c>
      <c r="E2">
        <v>134.47999999999999</v>
      </c>
      <c r="F2">
        <v>98.78</v>
      </c>
      <c r="G2">
        <v>20</v>
      </c>
      <c r="H2">
        <v>29.9</v>
      </c>
      <c r="I2">
        <f>2*A2*(1/(((B2^2)/((E2/1000)^2))+((C2^2)/((F2/1000)^2))+((D2^2)/(G2/100)^2)))^0.5</f>
        <v>345.66739200000001</v>
      </c>
      <c r="K2">
        <v>3024.6</v>
      </c>
      <c r="L2">
        <v>1</v>
      </c>
      <c r="M2">
        <v>0</v>
      </c>
      <c r="N2">
        <v>1</v>
      </c>
      <c r="O2">
        <v>28.7</v>
      </c>
      <c r="P2">
        <f>2*K2*(1/(((L2^2)/((E2/1000)^2))+((M2^2)/((F2/1000)^2))+((N2^2)/(G2/100)^2)))^0.5</f>
        <v>675.07826761763624</v>
      </c>
    </row>
    <row r="3" spans="1:16" x14ac:dyDescent="0.2">
      <c r="A3">
        <v>2071.3000000000002</v>
      </c>
      <c r="B3">
        <v>1</v>
      </c>
      <c r="C3">
        <v>1</v>
      </c>
      <c r="D3">
        <v>1</v>
      </c>
      <c r="E3">
        <v>134.47999999999999</v>
      </c>
      <c r="F3">
        <v>98.78</v>
      </c>
      <c r="G3">
        <v>20</v>
      </c>
      <c r="I3">
        <f t="shared" ref="I3:I8" si="0">2*A3*(1/(((B3^2)/((E3/1000)^2))+((C3^2)/((F3/1000)^2))+((D3^2)/(G3/100)^2)))^0.5</f>
        <v>306.4138506675979</v>
      </c>
      <c r="K3">
        <v>3929.6</v>
      </c>
      <c r="L3">
        <v>1</v>
      </c>
      <c r="M3">
        <v>0</v>
      </c>
      <c r="N3">
        <v>1</v>
      </c>
      <c r="P3">
        <f t="shared" ref="P3:P8" si="1">2*K3*(1/(((L3^2)/((E3/1000)^2))+((M3^2)/((F3/1000)^2))+((N3^2)/(G3/100)^2)))^0.5</f>
        <v>877.0705417014691</v>
      </c>
    </row>
    <row r="4" spans="1:16" x14ac:dyDescent="0.2">
      <c r="A4">
        <v>3080</v>
      </c>
      <c r="B4">
        <v>2</v>
      </c>
      <c r="C4">
        <v>1</v>
      </c>
      <c r="D4">
        <v>1</v>
      </c>
      <c r="E4">
        <v>134.47999999999999</v>
      </c>
      <c r="F4">
        <v>98.78</v>
      </c>
      <c r="G4">
        <v>20</v>
      </c>
      <c r="I4">
        <f t="shared" si="0"/>
        <v>329.89572924368855</v>
      </c>
      <c r="K4">
        <v>4982.1000000000004</v>
      </c>
      <c r="L4">
        <v>0</v>
      </c>
      <c r="M4">
        <v>1</v>
      </c>
      <c r="N4">
        <v>1</v>
      </c>
      <c r="P4">
        <f t="shared" si="1"/>
        <v>882.49494892012024</v>
      </c>
    </row>
    <row r="5" spans="1:16" x14ac:dyDescent="0.2">
      <c r="A5">
        <v>4320.8</v>
      </c>
      <c r="B5">
        <v>2</v>
      </c>
      <c r="C5">
        <v>2</v>
      </c>
      <c r="D5">
        <v>2</v>
      </c>
      <c r="E5">
        <v>134.47999999999999</v>
      </c>
      <c r="F5">
        <v>98.78</v>
      </c>
      <c r="G5">
        <v>20</v>
      </c>
      <c r="I5">
        <f t="shared" si="0"/>
        <v>319.59469076535436</v>
      </c>
      <c r="K5">
        <v>5995.5</v>
      </c>
      <c r="L5">
        <v>1</v>
      </c>
      <c r="M5">
        <v>1</v>
      </c>
      <c r="N5">
        <v>2</v>
      </c>
      <c r="P5">
        <f t="shared" si="1"/>
        <v>746.84521118410737</v>
      </c>
    </row>
    <row r="6" spans="1:16" x14ac:dyDescent="0.2">
      <c r="A6">
        <v>5412.1</v>
      </c>
      <c r="B6">
        <v>4</v>
      </c>
      <c r="C6">
        <v>1</v>
      </c>
      <c r="D6">
        <v>2</v>
      </c>
      <c r="E6">
        <v>134.47999999999999</v>
      </c>
      <c r="F6">
        <v>98.78</v>
      </c>
      <c r="G6">
        <v>20</v>
      </c>
      <c r="I6">
        <f t="shared" si="0"/>
        <v>328.27705134437963</v>
      </c>
      <c r="K6">
        <v>6555.6</v>
      </c>
      <c r="L6">
        <v>1</v>
      </c>
      <c r="M6">
        <v>1</v>
      </c>
      <c r="N6">
        <v>2</v>
      </c>
      <c r="P6">
        <f t="shared" si="1"/>
        <v>816.61553939430144</v>
      </c>
    </row>
    <row r="7" spans="1:16" x14ac:dyDescent="0.2">
      <c r="A7">
        <v>6476.4</v>
      </c>
      <c r="B7">
        <v>2</v>
      </c>
      <c r="C7">
        <v>2</v>
      </c>
      <c r="D7">
        <v>3</v>
      </c>
      <c r="E7">
        <v>134.47999999999999</v>
      </c>
      <c r="F7">
        <v>98.78</v>
      </c>
      <c r="G7">
        <v>20</v>
      </c>
      <c r="I7">
        <f t="shared" si="0"/>
        <v>442.68632487752234</v>
      </c>
      <c r="K7">
        <v>8432.5</v>
      </c>
      <c r="L7">
        <v>2</v>
      </c>
      <c r="M7">
        <v>1</v>
      </c>
      <c r="N7">
        <v>2</v>
      </c>
      <c r="P7">
        <f t="shared" si="1"/>
        <v>819.36079886356242</v>
      </c>
    </row>
    <row r="8" spans="1:16" x14ac:dyDescent="0.2">
      <c r="A8">
        <v>7848.2</v>
      </c>
      <c r="B8">
        <v>6</v>
      </c>
      <c r="C8">
        <v>1</v>
      </c>
      <c r="D8">
        <v>3</v>
      </c>
      <c r="E8">
        <v>134.47999999999999</v>
      </c>
      <c r="F8">
        <v>98.78</v>
      </c>
      <c r="G8">
        <v>20</v>
      </c>
      <c r="I8">
        <f t="shared" si="0"/>
        <v>326.01231942343702</v>
      </c>
      <c r="K8">
        <v>9957.9</v>
      </c>
      <c r="L8">
        <v>0</v>
      </c>
      <c r="M8">
        <v>2</v>
      </c>
      <c r="N8">
        <v>2</v>
      </c>
      <c r="P8">
        <f t="shared" si="1"/>
        <v>881.93697957203437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B2F2-64E1-8C45-96AB-EE7FEC564090}">
  <dimension ref="A1:M8"/>
  <sheetViews>
    <sheetView workbookViewId="0">
      <selection activeCell="J23" sqref="J23"/>
    </sheetView>
  </sheetViews>
  <sheetFormatPr baseColWidth="10" defaultRowHeight="16" x14ac:dyDescent="0.2"/>
  <sheetData>
    <row r="1" spans="1:13" x14ac:dyDescent="0.2">
      <c r="A1" s="1" t="s">
        <v>3</v>
      </c>
      <c r="B1" s="1" t="s">
        <v>4</v>
      </c>
      <c r="C1" s="1" t="s">
        <v>6</v>
      </c>
      <c r="D1" s="1" t="s">
        <v>5</v>
      </c>
      <c r="E1" s="1" t="s">
        <v>0</v>
      </c>
      <c r="F1" s="1" t="s">
        <v>1</v>
      </c>
      <c r="G1" s="1" t="s">
        <v>2</v>
      </c>
      <c r="H1" s="1" t="s">
        <v>7</v>
      </c>
      <c r="I1" s="2" t="s">
        <v>18</v>
      </c>
      <c r="J1" s="1" t="s">
        <v>8</v>
      </c>
      <c r="K1" s="1" t="s">
        <v>9</v>
      </c>
      <c r="L1" s="1" t="s">
        <v>10</v>
      </c>
      <c r="M1" s="1" t="s">
        <v>7</v>
      </c>
    </row>
    <row r="2" spans="1:13" x14ac:dyDescent="0.2">
      <c r="A2">
        <v>1048.6400000000001</v>
      </c>
      <c r="B2">
        <v>1</v>
      </c>
      <c r="C2">
        <v>0</v>
      </c>
      <c r="D2">
        <v>1</v>
      </c>
      <c r="E2">
        <v>169.45</v>
      </c>
      <c r="F2">
        <v>52.32</v>
      </c>
      <c r="G2">
        <v>28.5</v>
      </c>
      <c r="H2">
        <v>30.4</v>
      </c>
      <c r="I2">
        <f>2*A2*(1/(((B2^2)/((E2/1000)^2))+((C2^2)/((F2/1000)^2))+((D2^2)/(G2/100)^2)))^0.5</f>
        <v>305.46983833469784</v>
      </c>
      <c r="J2" t="s">
        <v>12</v>
      </c>
    </row>
    <row r="3" spans="1:13" x14ac:dyDescent="0.2">
      <c r="A3">
        <v>2121</v>
      </c>
      <c r="B3">
        <v>2</v>
      </c>
      <c r="C3">
        <v>0</v>
      </c>
      <c r="D3">
        <v>1</v>
      </c>
      <c r="E3">
        <v>169.45</v>
      </c>
      <c r="F3">
        <v>52.32</v>
      </c>
      <c r="G3">
        <v>28.5</v>
      </c>
      <c r="I3">
        <f t="shared" ref="I3:I8" si="0">2*A3*(1/(((B3^2)/((E3/1000)^2))+((C3^2)/((F3/1000)^2))+((D3^2)/(G3/100)^2)))^0.5</f>
        <v>344.50283503835738</v>
      </c>
    </row>
    <row r="4" spans="1:13" x14ac:dyDescent="0.2">
      <c r="A4">
        <v>3068.5</v>
      </c>
      <c r="B4">
        <v>3</v>
      </c>
      <c r="C4">
        <v>0</v>
      </c>
      <c r="D4">
        <v>2</v>
      </c>
      <c r="E4">
        <v>169.45</v>
      </c>
      <c r="F4">
        <v>52.32</v>
      </c>
      <c r="G4">
        <v>28.5</v>
      </c>
      <c r="I4">
        <f t="shared" si="0"/>
        <v>322.24681802325523</v>
      </c>
    </row>
    <row r="5" spans="1:13" x14ac:dyDescent="0.2">
      <c r="A5">
        <v>4488.6000000000004</v>
      </c>
      <c r="B5">
        <v>3</v>
      </c>
      <c r="C5">
        <v>1</v>
      </c>
      <c r="D5">
        <v>2</v>
      </c>
      <c r="E5">
        <v>169.45</v>
      </c>
      <c r="F5">
        <v>52.32</v>
      </c>
      <c r="G5">
        <v>28.5</v>
      </c>
      <c r="I5">
        <f t="shared" si="0"/>
        <v>332.71671411992969</v>
      </c>
    </row>
    <row r="6" spans="1:13" x14ac:dyDescent="0.2">
      <c r="A6">
        <v>5104.3</v>
      </c>
      <c r="B6">
        <v>5</v>
      </c>
      <c r="C6">
        <v>0</v>
      </c>
      <c r="D6">
        <v>3</v>
      </c>
      <c r="E6">
        <v>169.45</v>
      </c>
      <c r="F6">
        <v>52.32</v>
      </c>
      <c r="G6">
        <v>28.5</v>
      </c>
      <c r="I6">
        <f t="shared" si="0"/>
        <v>325.85581956093301</v>
      </c>
    </row>
    <row r="7" spans="1:13" x14ac:dyDescent="0.2">
      <c r="A7">
        <v>6139.7</v>
      </c>
      <c r="B7">
        <v>6</v>
      </c>
      <c r="C7">
        <v>0</v>
      </c>
      <c r="D7">
        <v>4</v>
      </c>
      <c r="E7">
        <v>169.45</v>
      </c>
      <c r="F7">
        <v>52.32</v>
      </c>
      <c r="G7">
        <v>28.5</v>
      </c>
      <c r="I7">
        <f t="shared" si="0"/>
        <v>322.3885919207072</v>
      </c>
    </row>
    <row r="8" spans="1:13" x14ac:dyDescent="0.2">
      <c r="A8">
        <v>7865.8</v>
      </c>
      <c r="B8">
        <v>7</v>
      </c>
      <c r="C8">
        <v>1</v>
      </c>
      <c r="D8">
        <v>5</v>
      </c>
      <c r="E8">
        <v>169.45</v>
      </c>
      <c r="F8">
        <v>52.32</v>
      </c>
      <c r="G8">
        <v>28.5</v>
      </c>
      <c r="I8">
        <f t="shared" si="0"/>
        <v>322.49172753720654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7DAD-E46C-4646-8F38-FE9D2CE35A9E}">
  <dimension ref="A1:H4"/>
  <sheetViews>
    <sheetView workbookViewId="0">
      <selection activeCell="H1" sqref="H1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  <c r="H1" t="s">
        <v>13</v>
      </c>
    </row>
    <row r="2" spans="1:8" x14ac:dyDescent="0.2">
      <c r="A2">
        <v>131.03</v>
      </c>
      <c r="B2">
        <v>99.52</v>
      </c>
      <c r="C2">
        <v>127</v>
      </c>
      <c r="D2">
        <v>3962.9</v>
      </c>
      <c r="E2">
        <v>3</v>
      </c>
      <c r="F2">
        <v>1</v>
      </c>
      <c r="G2">
        <v>1</v>
      </c>
      <c r="H2">
        <f>2*D2*(1/(((A2^2)/((E2*100)^2))+((B2^2)/((F2*100)^2))+((C2^2)/((G2*100)^2)))^0.5)</f>
        <v>4741.5797179335441</v>
      </c>
    </row>
    <row r="3" spans="1:8" x14ac:dyDescent="0.2">
      <c r="A3">
        <v>152.43</v>
      </c>
      <c r="B3">
        <v>99.52</v>
      </c>
      <c r="C3">
        <v>127</v>
      </c>
      <c r="D3">
        <v>3962.9</v>
      </c>
      <c r="E3">
        <v>2</v>
      </c>
      <c r="F3">
        <v>2</v>
      </c>
      <c r="G3">
        <v>2</v>
      </c>
      <c r="H3">
        <f t="shared" ref="H3:H4" si="0">2*D3*(1/(((A3^2)/((E3*100)^2))+((B3^2)/((F3*100)^2))+((C3^2)/((G3*100)^2)))^0.5)</f>
        <v>7141.5098919649781</v>
      </c>
    </row>
    <row r="4" spans="1:8" x14ac:dyDescent="0.2">
      <c r="A4">
        <v>88.16</v>
      </c>
      <c r="B4">
        <v>99.52</v>
      </c>
      <c r="C4">
        <v>127</v>
      </c>
      <c r="D4">
        <v>3962.9</v>
      </c>
      <c r="E4">
        <v>1</v>
      </c>
      <c r="F4">
        <v>2</v>
      </c>
      <c r="G4">
        <v>2</v>
      </c>
      <c r="H4">
        <f t="shared" si="0"/>
        <v>6632.4121427928221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McAfee</dc:creator>
  <cp:lastModifiedBy>Kona Lindsey</cp:lastModifiedBy>
  <dcterms:created xsi:type="dcterms:W3CDTF">2022-01-25T18:15:32Z</dcterms:created>
  <dcterms:modified xsi:type="dcterms:W3CDTF">2022-02-04T03:43:20Z</dcterms:modified>
</cp:coreProperties>
</file>