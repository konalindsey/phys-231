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  <sheet state="visible" name="Sheet3" sheetId="3" r:id="rId6"/>
    <sheet state="visible" name="Sheet4" sheetId="4" r:id="rId7"/>
    <sheet state="visible" name="Sheet5" sheetId="5" r:id="rId8"/>
    <sheet state="visible" name="Sheet6" sheetId="6" r:id="rId9"/>
    <sheet state="visible" name="Sheet7" sheetId="7" r:id="rId10"/>
    <sheet state="visible" name="Sheet8" sheetId="8" r:id="rId11"/>
    <sheet state="visible" name="Sheet9" sheetId="9" r:id="rId12"/>
  </sheets>
  <definedNames/>
  <calcPr/>
  <extLst>
    <ext uri="GoogleSheetsCustomDataVersion1">
      <go:sheetsCustomData xmlns:go="http://customooxmlschemas.google.com/" r:id="rId13" roundtripDataSignature="AMtx7miW16iVbXBhHPKT5Sg6cZY5w6V/kg=="/>
    </ext>
  </extLst>
</workbook>
</file>

<file path=xl/sharedStrings.xml><?xml version="1.0" encoding="utf-8"?>
<sst xmlns="http://schemas.openxmlformats.org/spreadsheetml/2006/main" count="130" uniqueCount="21">
  <si>
    <t>f</t>
  </si>
  <si>
    <t>N_x</t>
  </si>
  <si>
    <t>N_y</t>
  </si>
  <si>
    <t xml:space="preserve">N_z </t>
  </si>
  <si>
    <t>x</t>
  </si>
  <si>
    <t>y</t>
  </si>
  <si>
    <t>z</t>
  </si>
  <si>
    <t>T in C</t>
  </si>
  <si>
    <t>v (m/s)</t>
  </si>
  <si>
    <t>f_h</t>
  </si>
  <si>
    <t>N_hx</t>
  </si>
  <si>
    <t>N_hy</t>
  </si>
  <si>
    <t>N_hz</t>
  </si>
  <si>
    <t>v_h (m/s)</t>
  </si>
  <si>
    <t>Uncertainty in the caliper for x and y was 0.01 mm</t>
  </si>
  <si>
    <t>uncertainty for the ruler should be 0.5 mm</t>
  </si>
  <si>
    <t>uncertainty of the frequency should be 0.01</t>
  </si>
  <si>
    <t>N_z</t>
  </si>
  <si>
    <t xml:space="preserve">* box three in helium was very inconsistanr readings on the osciliscope. </t>
  </si>
  <si>
    <t xml:space="preserve">*no input tube for the helium </t>
  </si>
  <si>
    <t>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</si>
</sst>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2.0"/>
      <color theme="1"/>
      <name val="Calibri"/>
    </font>
    <font>
      <color theme="1"/>
      <name val="Calibri"/>
    </font>
    <font>
      <sz val="12.0"/>
      <color rgb="FF000000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1" numFmtId="0" xfId="0" applyAlignment="1" applyFont="1">
      <alignment readingOrder="0"/>
    </xf>
    <xf borderId="0" fillId="0" fontId="0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customschemas.google.com/relationships/workbookmetadata" Target="metadata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26" width="10.56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7</v>
      </c>
      <c r="P1" s="1" t="s">
        <v>13</v>
      </c>
    </row>
    <row r="2" ht="15.75" customHeight="1">
      <c r="A2" s="1">
        <v>1469.6</v>
      </c>
      <c r="B2" s="1">
        <v>0.0</v>
      </c>
      <c r="C2" s="1">
        <v>1.0</v>
      </c>
      <c r="D2" s="1">
        <v>1.0</v>
      </c>
      <c r="E2" s="1">
        <v>163.75</v>
      </c>
      <c r="F2" s="1">
        <v>117.11</v>
      </c>
      <c r="G2" s="1">
        <v>26.0</v>
      </c>
      <c r="H2" s="1">
        <v>31.7</v>
      </c>
      <c r="I2" s="1">
        <f>2*A2*((1/(((B2^2)/((E2/1000)^2))+((C2^2)/((F2/1000)^2))+((D2^2)/(G2/100)^2)))^0.5)</f>
        <v>313.8425304</v>
      </c>
      <c r="K2" s="1">
        <v>1034.95</v>
      </c>
      <c r="L2" s="1">
        <v>1.0</v>
      </c>
      <c r="M2" s="1">
        <v>0.0</v>
      </c>
      <c r="N2" s="1">
        <v>1.0</v>
      </c>
      <c r="O2" s="1">
        <v>27.2</v>
      </c>
      <c r="P2" s="1">
        <f t="shared" ref="P2:P7" si="1">2*K2*(1/(((L2^2)/((E2/1000)^2))+((M2^2)/((F2/1000)^2))+((N2^2)/(G2/100)^2)))^0.5</f>
        <v>286.8043134</v>
      </c>
    </row>
    <row r="3" ht="15.75" customHeight="1">
      <c r="A3" s="1">
        <v>2563.2</v>
      </c>
      <c r="B3" s="1">
        <v>2.0</v>
      </c>
      <c r="C3" s="1">
        <v>1.0</v>
      </c>
      <c r="D3" s="1">
        <v>1.0</v>
      </c>
      <c r="E3" s="1">
        <v>163.75</v>
      </c>
      <c r="F3" s="1">
        <v>117.11</v>
      </c>
      <c r="G3" s="1">
        <v>26.0</v>
      </c>
      <c r="I3" s="1">
        <f t="shared" ref="I3:I7" si="2">2*A3*(1/(((B3^2)/((E3/1000)^2))+((C3^2)/((F3/1000)^2))+((D3^2)/(G3/100)^2)))^0.5</f>
        <v>333.0780107</v>
      </c>
      <c r="K3" s="1">
        <v>2546.4</v>
      </c>
      <c r="L3" s="1">
        <v>1.0</v>
      </c>
      <c r="M3" s="1">
        <v>0.0</v>
      </c>
      <c r="N3" s="1">
        <v>1.0</v>
      </c>
      <c r="P3" s="1">
        <f t="shared" si="1"/>
        <v>705.6558323</v>
      </c>
    </row>
    <row r="4" ht="15.75" customHeight="1">
      <c r="A4" s="1">
        <v>3642.0</v>
      </c>
      <c r="B4" s="1">
        <v>2.0</v>
      </c>
      <c r="C4" s="1">
        <v>2.0</v>
      </c>
      <c r="D4" s="1">
        <v>1.0</v>
      </c>
      <c r="E4" s="1">
        <v>163.75</v>
      </c>
      <c r="F4" s="1">
        <v>117.11</v>
      </c>
      <c r="G4" s="1">
        <v>26.0</v>
      </c>
      <c r="I4" s="1">
        <f t="shared" si="2"/>
        <v>341.2448572</v>
      </c>
      <c r="K4" s="1">
        <v>3079.3</v>
      </c>
      <c r="L4" s="1">
        <v>1.0</v>
      </c>
      <c r="M4" s="1">
        <v>0.0</v>
      </c>
      <c r="N4" s="1">
        <v>2.0</v>
      </c>
      <c r="P4" s="1">
        <f t="shared" si="1"/>
        <v>627.0411956</v>
      </c>
    </row>
    <row r="5" ht="15.75" customHeight="1">
      <c r="A5" s="1">
        <v>4542.5</v>
      </c>
      <c r="B5" s="1">
        <v>1.0</v>
      </c>
      <c r="C5" s="1">
        <v>3.0</v>
      </c>
      <c r="D5" s="1">
        <v>2.0</v>
      </c>
      <c r="E5" s="1">
        <v>163.75</v>
      </c>
      <c r="F5" s="1">
        <v>117.11</v>
      </c>
      <c r="G5" s="1">
        <v>26.0</v>
      </c>
      <c r="I5" s="1">
        <f t="shared" si="2"/>
        <v>331.1432838</v>
      </c>
      <c r="K5" s="1">
        <v>4254.5</v>
      </c>
      <c r="L5" s="1">
        <v>0.0</v>
      </c>
      <c r="M5" s="1">
        <v>1.0</v>
      </c>
      <c r="N5" s="1">
        <v>2.0</v>
      </c>
      <c r="P5" s="1">
        <f t="shared" si="1"/>
        <v>740.3728481</v>
      </c>
    </row>
    <row r="6" ht="15.75" customHeight="1">
      <c r="A6" s="1">
        <v>5171.6</v>
      </c>
      <c r="B6" s="1">
        <v>4.0</v>
      </c>
      <c r="C6" s="1">
        <v>2.0</v>
      </c>
      <c r="D6" s="1">
        <v>2.0</v>
      </c>
      <c r="E6" s="1">
        <v>163.75</v>
      </c>
      <c r="F6" s="1">
        <v>117.11</v>
      </c>
      <c r="G6" s="1">
        <v>26.0</v>
      </c>
      <c r="I6" s="1">
        <f t="shared" si="2"/>
        <v>336.0147941</v>
      </c>
      <c r="K6" s="1">
        <v>5236.1</v>
      </c>
      <c r="L6" s="1">
        <v>1.0</v>
      </c>
      <c r="M6" s="1">
        <v>1.0</v>
      </c>
      <c r="N6" s="1">
        <v>2.0</v>
      </c>
      <c r="P6" s="1">
        <f t="shared" si="1"/>
        <v>804.6505528</v>
      </c>
    </row>
    <row r="7" ht="15.75" customHeight="1">
      <c r="A7" s="1">
        <v>6348.9</v>
      </c>
      <c r="B7" s="1">
        <v>6.0</v>
      </c>
      <c r="C7" s="1">
        <v>0.0</v>
      </c>
      <c r="D7" s="1">
        <v>3.0</v>
      </c>
      <c r="E7" s="1">
        <v>163.75</v>
      </c>
      <c r="F7" s="1">
        <v>117.11</v>
      </c>
      <c r="G7" s="1">
        <v>26.0</v>
      </c>
      <c r="I7" s="1">
        <f t="shared" si="2"/>
        <v>330.5424237</v>
      </c>
      <c r="K7" s="1">
        <v>6149.8</v>
      </c>
      <c r="L7" s="1">
        <v>2.0</v>
      </c>
      <c r="M7" s="1">
        <v>0.0</v>
      </c>
      <c r="N7" s="1">
        <v>2.0</v>
      </c>
      <c r="P7" s="1">
        <f t="shared" si="1"/>
        <v>852.113226</v>
      </c>
    </row>
    <row r="8" ht="15.75" customHeight="1"/>
    <row r="9" ht="15.75" customHeight="1"/>
    <row r="10" ht="15.75" customHeight="1">
      <c r="A10" s="1" t="s">
        <v>14</v>
      </c>
    </row>
    <row r="11" ht="15.75" customHeight="1">
      <c r="A11" s="1" t="s">
        <v>15</v>
      </c>
    </row>
    <row r="12" ht="15.75" customHeight="1">
      <c r="A12" s="1" t="s">
        <v>16</v>
      </c>
    </row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26" width="10.56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17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K1" s="1" t="s">
        <v>9</v>
      </c>
      <c r="L1" s="1" t="s">
        <v>10</v>
      </c>
      <c r="M1" s="1" t="s">
        <v>11</v>
      </c>
      <c r="O1" s="1" t="s">
        <v>7</v>
      </c>
      <c r="P1" s="1" t="s">
        <v>13</v>
      </c>
    </row>
    <row r="2" ht="15.75" customHeight="1">
      <c r="A2" s="1">
        <v>1584.4</v>
      </c>
      <c r="B2" s="1">
        <v>0.0</v>
      </c>
      <c r="C2" s="1">
        <v>1.0</v>
      </c>
      <c r="D2" s="1">
        <v>1.0</v>
      </c>
      <c r="E2" s="1">
        <v>119.07</v>
      </c>
      <c r="F2" s="1">
        <v>109.4</v>
      </c>
      <c r="G2" s="1">
        <v>25.0</v>
      </c>
      <c r="H2" s="1">
        <v>29.7</v>
      </c>
      <c r="I2" s="1">
        <f t="shared" ref="I2:I7" si="1">2*A2*(1/(((B2^2)/((E2/1000)^2))+((C2^2)/((F2/1000)^2))+((D2^2)/(G2/100)^2)))^0.5</f>
        <v>317.5895949</v>
      </c>
      <c r="K2" s="1">
        <v>1397.9</v>
      </c>
      <c r="L2" s="1">
        <v>1.0</v>
      </c>
      <c r="M2" s="1">
        <v>0.0</v>
      </c>
      <c r="N2" s="1">
        <v>1.0</v>
      </c>
      <c r="O2" s="1">
        <v>27.8</v>
      </c>
      <c r="P2" s="1">
        <f t="shared" ref="P2:P7" si="2">2*K2*(1/(((L2^2)/((E2/1000)^2))+((M2^2)/((F2/1000)^2))+((N2^2)/(G2/100)^2)))^0.5</f>
        <v>300.5481254</v>
      </c>
    </row>
    <row r="3" ht="15.75" customHeight="1">
      <c r="A3" s="1">
        <v>2289.9</v>
      </c>
      <c r="B3" s="1">
        <v>2.0</v>
      </c>
      <c r="C3" s="1">
        <v>0.0</v>
      </c>
      <c r="D3" s="1">
        <v>1.0</v>
      </c>
      <c r="E3" s="1">
        <v>119.07</v>
      </c>
      <c r="F3" s="1">
        <v>109.4</v>
      </c>
      <c r="G3" s="1">
        <v>25.0</v>
      </c>
      <c r="I3" s="1">
        <f t="shared" si="1"/>
        <v>265.2411038</v>
      </c>
      <c r="K3" s="1">
        <v>2095.2</v>
      </c>
      <c r="L3" s="1">
        <v>1.0</v>
      </c>
      <c r="M3" s="1">
        <v>1.0</v>
      </c>
      <c r="N3" s="1">
        <v>1.0</v>
      </c>
      <c r="P3" s="1">
        <f t="shared" si="2"/>
        <v>321.3066956</v>
      </c>
    </row>
    <row r="4" ht="15.75" customHeight="1">
      <c r="A4" s="1">
        <v>3307.0</v>
      </c>
      <c r="B4" s="1">
        <v>2.0</v>
      </c>
      <c r="C4" s="1">
        <v>1.0</v>
      </c>
      <c r="D4" s="1">
        <v>1.0</v>
      </c>
      <c r="E4" s="1">
        <v>119.07</v>
      </c>
      <c r="F4" s="1">
        <v>109.4</v>
      </c>
      <c r="G4" s="1">
        <v>25.0</v>
      </c>
      <c r="I4" s="1">
        <f t="shared" si="1"/>
        <v>338.5401613</v>
      </c>
      <c r="K4" s="1">
        <v>3679.8</v>
      </c>
      <c r="L4" s="1">
        <v>1.0</v>
      </c>
      <c r="M4" s="1">
        <v>1.0</v>
      </c>
      <c r="N4" s="1">
        <v>1.0</v>
      </c>
      <c r="P4" s="1">
        <f t="shared" si="2"/>
        <v>564.3109864</v>
      </c>
    </row>
    <row r="5" ht="15.75" customHeight="1">
      <c r="A5" s="1">
        <v>4649.7</v>
      </c>
      <c r="B5" s="1">
        <v>3.0</v>
      </c>
      <c r="C5" s="1">
        <v>1.0</v>
      </c>
      <c r="D5" s="1">
        <v>2.0</v>
      </c>
      <c r="E5" s="1">
        <v>119.07</v>
      </c>
      <c r="F5" s="1">
        <v>109.4</v>
      </c>
      <c r="G5" s="1">
        <v>25.0</v>
      </c>
      <c r="I5" s="1">
        <f t="shared" si="1"/>
        <v>332.470424</v>
      </c>
      <c r="K5" s="1">
        <v>4218.2</v>
      </c>
      <c r="L5" s="1">
        <v>1.0</v>
      </c>
      <c r="M5" s="1">
        <v>0.0</v>
      </c>
      <c r="N5" s="1">
        <v>2.0</v>
      </c>
      <c r="P5" s="1">
        <f t="shared" si="2"/>
        <v>727.3475492</v>
      </c>
    </row>
    <row r="6" ht="15.75" customHeight="1">
      <c r="A6" s="1">
        <v>5363.0</v>
      </c>
      <c r="B6" s="1">
        <v>3.0</v>
      </c>
      <c r="C6" s="1">
        <v>2.0</v>
      </c>
      <c r="D6" s="1">
        <v>2.0</v>
      </c>
      <c r="E6" s="1">
        <v>119.07</v>
      </c>
      <c r="F6" s="1">
        <v>109.4</v>
      </c>
      <c r="G6" s="1">
        <v>25.0</v>
      </c>
      <c r="I6" s="1">
        <f t="shared" si="1"/>
        <v>333.7215888</v>
      </c>
      <c r="K6" s="1">
        <v>6239.4</v>
      </c>
      <c r="L6" s="1">
        <v>1.0</v>
      </c>
      <c r="M6" s="1">
        <v>1.0</v>
      </c>
      <c r="N6" s="1">
        <v>2.0</v>
      </c>
      <c r="P6" s="1">
        <f t="shared" si="2"/>
        <v>845.0021661</v>
      </c>
    </row>
    <row r="7" ht="15.75" customHeight="1">
      <c r="A7" s="1">
        <v>6303.0</v>
      </c>
      <c r="B7" s="1">
        <v>2.0</v>
      </c>
      <c r="C7" s="1">
        <v>4.0</v>
      </c>
      <c r="D7" s="1">
        <v>3.0</v>
      </c>
      <c r="E7" s="1">
        <v>119.07</v>
      </c>
      <c r="F7" s="1">
        <v>109.4</v>
      </c>
      <c r="G7" s="1">
        <v>25.0</v>
      </c>
      <c r="I7" s="1">
        <f t="shared" si="1"/>
        <v>300.2286413</v>
      </c>
      <c r="K7" s="1">
        <v>8457.2</v>
      </c>
      <c r="L7" s="1">
        <v>2.0</v>
      </c>
      <c r="M7" s="1">
        <v>0.0</v>
      </c>
      <c r="N7" s="1">
        <v>2.0</v>
      </c>
      <c r="P7" s="1">
        <f t="shared" si="2"/>
        <v>909.1478669</v>
      </c>
    </row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26" width="10.56"/>
  </cols>
  <sheetData>
    <row r="1" ht="15.75" customHeight="1">
      <c r="A1" s="2" t="s">
        <v>0</v>
      </c>
      <c r="B1" s="2" t="s">
        <v>1</v>
      </c>
      <c r="C1" s="2" t="s">
        <v>2</v>
      </c>
      <c r="D1" s="2" t="s">
        <v>17</v>
      </c>
      <c r="E1" s="2" t="s">
        <v>4</v>
      </c>
      <c r="F1" s="2" t="s">
        <v>5</v>
      </c>
      <c r="G1" s="2" t="s">
        <v>6</v>
      </c>
      <c r="H1" s="2" t="s">
        <v>7</v>
      </c>
      <c r="I1" s="1" t="s">
        <v>8</v>
      </c>
      <c r="K1" s="2" t="s">
        <v>9</v>
      </c>
      <c r="L1" s="2" t="s">
        <v>10</v>
      </c>
      <c r="M1" s="2" t="s">
        <v>11</v>
      </c>
      <c r="N1" s="2" t="s">
        <v>10</v>
      </c>
      <c r="O1" s="2" t="s">
        <v>7</v>
      </c>
      <c r="P1" s="1" t="s">
        <v>13</v>
      </c>
    </row>
    <row r="2" ht="15.75" customHeight="1">
      <c r="A2" s="1">
        <v>1459.1</v>
      </c>
      <c r="B2" s="1">
        <v>0.0</v>
      </c>
      <c r="C2" s="1">
        <v>1.0</v>
      </c>
      <c r="D2" s="1">
        <v>1.0</v>
      </c>
      <c r="E2" s="1">
        <v>162.61</v>
      </c>
      <c r="F2" s="1">
        <v>118.57</v>
      </c>
      <c r="G2" s="1">
        <v>74.5</v>
      </c>
      <c r="H2" s="1">
        <v>30.0</v>
      </c>
      <c r="I2" s="1">
        <f t="shared" ref="I2:I8" si="1">2*A2*(1/(((B2^2)/((E2/1000)^2))+((C2^2)/((F2/1000)^2))+((D2^2)/(G2/100)^2)))^0.5</f>
        <v>341.7102587</v>
      </c>
      <c r="K2" s="1">
        <v>3630.0</v>
      </c>
      <c r="L2" s="1">
        <v>2.0</v>
      </c>
      <c r="M2" s="1">
        <v>1.0</v>
      </c>
      <c r="N2" s="1">
        <v>1.0</v>
      </c>
      <c r="O2" s="1">
        <v>27.9</v>
      </c>
      <c r="P2" s="1">
        <f t="shared" ref="P2:P5" si="2">2*K2*(1/(((L2^2)/((E2/1000)^2))+((M2^2)/((F2/1000)^2))+((N2^2)/(G2/100)^2)))^0.5</f>
        <v>484.8565413</v>
      </c>
    </row>
    <row r="3" ht="15.75" customHeight="1">
      <c r="A3" s="1">
        <v>2113.6</v>
      </c>
      <c r="B3" s="1">
        <v>2.0</v>
      </c>
      <c r="C3" s="1">
        <v>0.0</v>
      </c>
      <c r="D3" s="1">
        <v>1.0</v>
      </c>
      <c r="E3" s="1">
        <v>162.61</v>
      </c>
      <c r="F3" s="1">
        <v>118.57</v>
      </c>
      <c r="G3" s="1">
        <v>74.5</v>
      </c>
      <c r="I3" s="1">
        <f t="shared" si="1"/>
        <v>341.6638624</v>
      </c>
      <c r="K3" s="1">
        <v>4679.7</v>
      </c>
      <c r="L3" s="1">
        <v>1.0</v>
      </c>
      <c r="M3" s="1">
        <v>0.0</v>
      </c>
      <c r="N3" s="1">
        <v>2.0</v>
      </c>
      <c r="P3" s="1">
        <f t="shared" si="2"/>
        <v>1394.822031</v>
      </c>
    </row>
    <row r="4" ht="15.75" customHeight="1">
      <c r="A4" s="1">
        <v>3093.7</v>
      </c>
      <c r="B4" s="1">
        <v>1.0</v>
      </c>
      <c r="C4" s="1">
        <v>2.0</v>
      </c>
      <c r="D4" s="1">
        <v>2.0</v>
      </c>
      <c r="E4" s="1">
        <v>162.61</v>
      </c>
      <c r="F4" s="1">
        <v>118.57</v>
      </c>
      <c r="G4" s="1">
        <v>74.5</v>
      </c>
      <c r="I4" s="1">
        <f t="shared" si="1"/>
        <v>340.8407918</v>
      </c>
      <c r="K4" s="1">
        <v>5972.6</v>
      </c>
      <c r="L4" s="1">
        <v>1.0</v>
      </c>
      <c r="M4" s="1">
        <v>0.0</v>
      </c>
      <c r="N4" s="1">
        <v>3.0</v>
      </c>
      <c r="P4" s="1">
        <f t="shared" si="2"/>
        <v>1625.022966</v>
      </c>
    </row>
    <row r="5" ht="15.75" customHeight="1">
      <c r="A5" s="1">
        <v>4202.9</v>
      </c>
      <c r="B5" s="1">
        <v>3.0</v>
      </c>
      <c r="C5" s="1">
        <v>1.0</v>
      </c>
      <c r="D5" s="1">
        <v>2.0</v>
      </c>
      <c r="E5" s="1">
        <v>162.61</v>
      </c>
      <c r="F5" s="1">
        <v>118.57</v>
      </c>
      <c r="G5" s="1">
        <v>74.5</v>
      </c>
      <c r="I5" s="1">
        <f t="shared" si="1"/>
        <v>410.7953677</v>
      </c>
      <c r="K5" s="1">
        <v>6339.4</v>
      </c>
      <c r="L5" s="1">
        <v>1.0</v>
      </c>
      <c r="M5" s="1">
        <v>0.0</v>
      </c>
      <c r="N5" s="1">
        <v>4.0</v>
      </c>
      <c r="P5" s="1">
        <f t="shared" si="2"/>
        <v>1553.068701</v>
      </c>
    </row>
    <row r="6" ht="15.75" customHeight="1">
      <c r="A6" s="1">
        <v>5329.5</v>
      </c>
      <c r="B6" s="1">
        <v>2.0</v>
      </c>
      <c r="C6" s="1">
        <v>1.0</v>
      </c>
      <c r="D6" s="1">
        <v>3.0</v>
      </c>
      <c r="E6" s="1">
        <v>162.61</v>
      </c>
      <c r="F6" s="1">
        <v>118.57</v>
      </c>
      <c r="G6" s="1">
        <v>74.5</v>
      </c>
      <c r="I6" s="1">
        <f t="shared" si="1"/>
        <v>690.0228836</v>
      </c>
    </row>
    <row r="7" ht="15.75" customHeight="1">
      <c r="A7" s="1">
        <v>6306.5</v>
      </c>
      <c r="B7" s="1">
        <v>3.0</v>
      </c>
      <c r="C7" s="1">
        <v>0.0</v>
      </c>
      <c r="D7" s="1">
        <v>4.0</v>
      </c>
      <c r="E7" s="1">
        <v>162.61</v>
      </c>
      <c r="F7" s="1">
        <v>118.57</v>
      </c>
      <c r="G7" s="1">
        <v>74.5</v>
      </c>
      <c r="I7" s="1">
        <f t="shared" si="1"/>
        <v>656.4331533</v>
      </c>
    </row>
    <row r="8" ht="15.75" customHeight="1">
      <c r="A8" s="1">
        <v>7094.8</v>
      </c>
      <c r="B8" s="1">
        <v>4.0</v>
      </c>
      <c r="C8" s="1">
        <v>0.0</v>
      </c>
      <c r="D8" s="1">
        <v>4.0</v>
      </c>
      <c r="E8" s="1">
        <v>162.61</v>
      </c>
      <c r="F8" s="1">
        <v>118.57</v>
      </c>
      <c r="G8" s="1">
        <v>74.5</v>
      </c>
      <c r="I8" s="1">
        <f t="shared" si="1"/>
        <v>563.5742524</v>
      </c>
    </row>
    <row r="9" ht="15.75" customHeight="1">
      <c r="J9" s="1" t="s">
        <v>18</v>
      </c>
    </row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26" width="10.56"/>
  </cols>
  <sheetData>
    <row r="1" ht="15.75" customHeight="1">
      <c r="A1" s="2" t="s">
        <v>0</v>
      </c>
      <c r="B1" s="2" t="s">
        <v>1</v>
      </c>
      <c r="C1" s="2" t="s">
        <v>2</v>
      </c>
      <c r="D1" s="2" t="s">
        <v>17</v>
      </c>
      <c r="E1" s="2" t="s">
        <v>4</v>
      </c>
      <c r="F1" s="2" t="s">
        <v>5</v>
      </c>
      <c r="G1" s="2" t="s">
        <v>6</v>
      </c>
      <c r="H1" s="2" t="s">
        <v>7</v>
      </c>
      <c r="I1" s="1" t="s">
        <v>8</v>
      </c>
      <c r="K1" s="2" t="s">
        <v>9</v>
      </c>
      <c r="L1" s="2" t="s">
        <v>10</v>
      </c>
      <c r="M1" s="2" t="s">
        <v>11</v>
      </c>
      <c r="O1" s="2" t="s">
        <v>7</v>
      </c>
      <c r="P1" s="1" t="s">
        <v>13</v>
      </c>
    </row>
    <row r="2" ht="15.75" customHeight="1">
      <c r="A2" s="1">
        <v>1237.1</v>
      </c>
      <c r="B2" s="1">
        <v>1.0</v>
      </c>
      <c r="C2" s="1">
        <v>0.0</v>
      </c>
      <c r="D2" s="1">
        <v>0.0</v>
      </c>
      <c r="E2" s="1">
        <v>136.39</v>
      </c>
      <c r="F2" s="1">
        <v>66.93</v>
      </c>
      <c r="G2" s="1">
        <v>66.5</v>
      </c>
      <c r="H2" s="1">
        <v>30.1</v>
      </c>
      <c r="I2" s="1">
        <f t="shared" ref="I2:I9" si="1">2*A2*(1/(((B2^2)/((E2/1000)^2))+((C2^2)/((F2/1000)^2))+((D2^2)/(G2/100)^2)))^0.5</f>
        <v>337.456138</v>
      </c>
      <c r="K2" s="1">
        <v>3479.5</v>
      </c>
      <c r="L2" s="1">
        <v>1.0</v>
      </c>
      <c r="M2" s="1">
        <v>0.0</v>
      </c>
      <c r="N2" s="1">
        <v>1.0</v>
      </c>
      <c r="O2" s="3">
        <v>28.4</v>
      </c>
      <c r="P2" s="1">
        <f t="shared" ref="P2:P8" si="2">2*K2*(1/(((L2^2)/((E2/1000)^2))+((M2^2)/((F2/1000)^2))+((N2^2)/(G2/100)^2)))^0.5</f>
        <v>929.7837325</v>
      </c>
    </row>
    <row r="3" ht="15.75" customHeight="1">
      <c r="A3" s="1">
        <v>2077.8</v>
      </c>
      <c r="B3" s="1">
        <v>1.0</v>
      </c>
      <c r="C3" s="1">
        <v>0.0</v>
      </c>
      <c r="D3" s="1">
        <v>1.0</v>
      </c>
      <c r="E3" s="1">
        <v>136.39</v>
      </c>
      <c r="F3" s="1">
        <v>66.93</v>
      </c>
      <c r="G3" s="1">
        <v>66.5</v>
      </c>
      <c r="I3" s="1">
        <f t="shared" si="1"/>
        <v>555.224785</v>
      </c>
      <c r="K3" s="1">
        <v>4892.2</v>
      </c>
      <c r="L3" s="1">
        <v>0.0</v>
      </c>
      <c r="M3" s="1">
        <v>0.0</v>
      </c>
      <c r="N3" s="1">
        <v>1.0</v>
      </c>
      <c r="P3" s="1">
        <f t="shared" si="2"/>
        <v>6506.626</v>
      </c>
    </row>
    <row r="4" ht="15.75" customHeight="1">
      <c r="A4" s="1">
        <v>3306.2</v>
      </c>
      <c r="B4" s="1">
        <v>1.0</v>
      </c>
      <c r="C4" s="1">
        <v>1.0</v>
      </c>
      <c r="D4" s="1">
        <v>1.0</v>
      </c>
      <c r="E4" s="1">
        <v>136.39</v>
      </c>
      <c r="F4" s="1">
        <v>66.93</v>
      </c>
      <c r="G4" s="1">
        <v>66.5</v>
      </c>
      <c r="I4" s="1">
        <f t="shared" si="1"/>
        <v>395.6958975</v>
      </c>
      <c r="K4" s="1">
        <v>5820.9</v>
      </c>
      <c r="L4" s="1">
        <v>1.0</v>
      </c>
      <c r="M4" s="1">
        <v>0.0</v>
      </c>
      <c r="N4" s="1">
        <v>1.0</v>
      </c>
      <c r="P4" s="1">
        <f t="shared" si="2"/>
        <v>1555.447084</v>
      </c>
    </row>
    <row r="5" ht="15.75" customHeight="1">
      <c r="A5" s="1">
        <v>4294.8</v>
      </c>
      <c r="B5" s="1">
        <v>2.0</v>
      </c>
      <c r="C5" s="1">
        <v>0.0</v>
      </c>
      <c r="D5" s="1">
        <v>1.0</v>
      </c>
      <c r="E5" s="1">
        <v>136.39</v>
      </c>
      <c r="F5" s="1">
        <v>66.93</v>
      </c>
      <c r="G5" s="1">
        <v>66.5</v>
      </c>
      <c r="I5" s="1">
        <f t="shared" si="1"/>
        <v>582.7118076</v>
      </c>
      <c r="K5" s="1">
        <v>6422.9</v>
      </c>
      <c r="L5" s="1">
        <v>1.0</v>
      </c>
      <c r="M5" s="1">
        <v>0.0</v>
      </c>
      <c r="N5" s="1">
        <v>2.0</v>
      </c>
      <c r="P5" s="1">
        <f t="shared" si="2"/>
        <v>1620.965863</v>
      </c>
    </row>
    <row r="6" ht="15.75" customHeight="1">
      <c r="A6" s="1">
        <v>5454.3</v>
      </c>
      <c r="B6" s="1">
        <v>0.0</v>
      </c>
      <c r="C6" s="1">
        <v>2.0</v>
      </c>
      <c r="D6" s="1">
        <v>2.0</v>
      </c>
      <c r="E6" s="1">
        <v>136.39</v>
      </c>
      <c r="F6" s="1">
        <v>66.93</v>
      </c>
      <c r="G6" s="1">
        <v>66.5</v>
      </c>
      <c r="I6" s="1">
        <f t="shared" si="1"/>
        <v>363.2212656</v>
      </c>
      <c r="K6" s="1">
        <v>7100.8</v>
      </c>
      <c r="L6" s="1">
        <v>2.0</v>
      </c>
      <c r="M6" s="1">
        <v>0.0</v>
      </c>
      <c r="N6" s="1">
        <v>2.0</v>
      </c>
      <c r="P6" s="1">
        <f t="shared" si="2"/>
        <v>948.7294623</v>
      </c>
    </row>
    <row r="7" ht="15.75" customHeight="1">
      <c r="A7" s="1">
        <v>6120.5</v>
      </c>
      <c r="B7" s="1">
        <v>3.0</v>
      </c>
      <c r="C7" s="1">
        <v>0.0</v>
      </c>
      <c r="D7" s="1">
        <v>2.0</v>
      </c>
      <c r="E7" s="1">
        <v>136.39</v>
      </c>
      <c r="F7" s="1">
        <v>66.93</v>
      </c>
      <c r="G7" s="1">
        <v>66.5</v>
      </c>
      <c r="I7" s="1">
        <f t="shared" si="1"/>
        <v>551.3862843</v>
      </c>
      <c r="K7" s="1">
        <v>8320.3</v>
      </c>
      <c r="L7" s="1">
        <v>1.0</v>
      </c>
      <c r="M7" s="1">
        <v>1.0</v>
      </c>
      <c r="N7" s="1">
        <v>2.0</v>
      </c>
      <c r="P7" s="1">
        <f t="shared" si="2"/>
        <v>983.9188696</v>
      </c>
    </row>
    <row r="8" ht="15.75" customHeight="1">
      <c r="A8" s="1">
        <v>7106.8</v>
      </c>
      <c r="B8" s="1">
        <v>4.0</v>
      </c>
      <c r="C8" s="1">
        <v>1.0</v>
      </c>
      <c r="D8" s="1">
        <v>3.0</v>
      </c>
      <c r="E8" s="1">
        <v>136.39</v>
      </c>
      <c r="F8" s="1">
        <v>66.93</v>
      </c>
      <c r="G8" s="1">
        <v>66.5</v>
      </c>
      <c r="I8" s="1">
        <f t="shared" si="1"/>
        <v>427.8379137</v>
      </c>
      <c r="K8" s="1">
        <v>9553.4</v>
      </c>
      <c r="L8" s="1">
        <v>1.0</v>
      </c>
      <c r="M8" s="1">
        <v>1.0</v>
      </c>
      <c r="N8" s="1">
        <v>2.0</v>
      </c>
      <c r="P8" s="1">
        <f t="shared" si="2"/>
        <v>1129.739376</v>
      </c>
    </row>
    <row r="9" ht="15.75" customHeight="1">
      <c r="A9" s="1">
        <v>8328.4</v>
      </c>
      <c r="B9" s="1">
        <v>2.0</v>
      </c>
      <c r="C9" s="1">
        <v>1.0</v>
      </c>
      <c r="D9" s="1">
        <v>4.0</v>
      </c>
      <c r="E9" s="1">
        <v>136.39</v>
      </c>
      <c r="F9" s="1">
        <v>66.93</v>
      </c>
      <c r="G9" s="1">
        <v>66.5</v>
      </c>
      <c r="I9" s="1">
        <f t="shared" si="1"/>
        <v>764.7160132</v>
      </c>
    </row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26" width="10.56"/>
  </cols>
  <sheetData>
    <row r="1" ht="15.75" customHeight="1">
      <c r="A1" s="2" t="s">
        <v>0</v>
      </c>
      <c r="B1" s="2" t="s">
        <v>1</v>
      </c>
      <c r="C1" s="2" t="s">
        <v>2</v>
      </c>
      <c r="D1" s="2" t="s">
        <v>17</v>
      </c>
      <c r="E1" s="2" t="s">
        <v>4</v>
      </c>
      <c r="F1" s="2" t="s">
        <v>5</v>
      </c>
      <c r="G1" s="2" t="s">
        <v>6</v>
      </c>
      <c r="H1" s="2" t="s">
        <v>7</v>
      </c>
      <c r="I1" s="1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7</v>
      </c>
      <c r="P1" s="1" t="s">
        <v>13</v>
      </c>
    </row>
    <row r="2" ht="15.75" customHeight="1">
      <c r="A2" s="1">
        <v>1262.8</v>
      </c>
      <c r="B2" s="1">
        <v>1.0</v>
      </c>
      <c r="C2" s="1">
        <v>0.0</v>
      </c>
      <c r="D2" s="1">
        <v>0.0</v>
      </c>
      <c r="E2" s="1">
        <v>136.18</v>
      </c>
      <c r="F2" s="1">
        <v>99.04</v>
      </c>
      <c r="G2" s="1">
        <v>68.0</v>
      </c>
      <c r="H2" s="1">
        <v>30.0</v>
      </c>
      <c r="I2" s="1">
        <f t="shared" ref="I2:I8" si="1">2*A2*(1/(((B2^2)/((E2/1000)^2))+((C2^2)/((F2/1000)^2))+((D2^2)/(G2/100)^2)))^0.5</f>
        <v>343.936208</v>
      </c>
      <c r="K2" s="1">
        <v>1916.4</v>
      </c>
      <c r="L2" s="1">
        <v>1.0</v>
      </c>
      <c r="M2" s="1">
        <v>0.0</v>
      </c>
      <c r="N2" s="1">
        <v>1.0</v>
      </c>
      <c r="O2" s="1">
        <v>28.4</v>
      </c>
      <c r="P2" s="1">
        <f t="shared" ref="P2:P7" si="2">2*K2*(1/(((L2^2)/((E2/1000)^2))+((M2^2)/((F2/1000)^2))+((N2^2)/(G2/100)^2)))^0.5</f>
        <v>511.7887048</v>
      </c>
    </row>
    <row r="3" ht="15.75" customHeight="1">
      <c r="A3" s="1">
        <v>2158.9</v>
      </c>
      <c r="B3" s="1">
        <v>1.0</v>
      </c>
      <c r="C3" s="1">
        <v>1.0</v>
      </c>
      <c r="D3" s="1">
        <v>1.0</v>
      </c>
      <c r="E3" s="1">
        <v>136.18</v>
      </c>
      <c r="F3" s="1">
        <v>99.04</v>
      </c>
      <c r="G3" s="1">
        <v>68.0</v>
      </c>
      <c r="I3" s="1">
        <f t="shared" si="1"/>
        <v>343.4692615</v>
      </c>
      <c r="K3" s="1">
        <v>2743.5</v>
      </c>
      <c r="L3" s="1">
        <v>1.0</v>
      </c>
      <c r="M3" s="1">
        <v>0.0</v>
      </c>
      <c r="N3" s="1">
        <v>1.0</v>
      </c>
      <c r="P3" s="1">
        <f t="shared" si="2"/>
        <v>732.6718387</v>
      </c>
    </row>
    <row r="4" ht="15.75" customHeight="1">
      <c r="A4" s="1">
        <v>3100.2</v>
      </c>
      <c r="B4" s="1">
        <v>0.0</v>
      </c>
      <c r="C4" s="1">
        <v>1.0</v>
      </c>
      <c r="D4" s="1">
        <v>2.0</v>
      </c>
      <c r="E4" s="1">
        <v>136.18</v>
      </c>
      <c r="F4" s="1">
        <v>99.04</v>
      </c>
      <c r="G4" s="1">
        <v>68.0</v>
      </c>
      <c r="I4" s="1">
        <f t="shared" si="1"/>
        <v>589.5831182</v>
      </c>
      <c r="K4" s="1">
        <v>3566.2</v>
      </c>
      <c r="L4" s="1">
        <v>0.0</v>
      </c>
      <c r="M4" s="1">
        <v>1.0</v>
      </c>
      <c r="N4" s="1">
        <v>1.0</v>
      </c>
      <c r="P4" s="1">
        <f t="shared" si="2"/>
        <v>699.01765</v>
      </c>
    </row>
    <row r="5" ht="15.75" customHeight="1">
      <c r="A5" s="1">
        <v>4015.3</v>
      </c>
      <c r="B5" s="1">
        <v>2.0</v>
      </c>
      <c r="C5" s="1">
        <v>1.0</v>
      </c>
      <c r="D5" s="1">
        <v>3.0</v>
      </c>
      <c r="E5" s="1">
        <v>136.18</v>
      </c>
      <c r="F5" s="1">
        <v>99.04</v>
      </c>
      <c r="G5" s="1">
        <v>68.0</v>
      </c>
      <c r="I5" s="1">
        <f t="shared" si="1"/>
        <v>437.3876109</v>
      </c>
      <c r="K5" s="1">
        <v>4199.7</v>
      </c>
      <c r="L5" s="1">
        <v>0.0</v>
      </c>
      <c r="M5" s="1">
        <v>1.0</v>
      </c>
      <c r="N5" s="1">
        <v>1.0</v>
      </c>
      <c r="P5" s="1">
        <f t="shared" si="2"/>
        <v>823.1911908</v>
      </c>
    </row>
    <row r="6" ht="15.75" customHeight="1">
      <c r="A6" s="1">
        <v>5433.8</v>
      </c>
      <c r="B6" s="3">
        <v>2.0</v>
      </c>
      <c r="C6" s="1">
        <v>1.0</v>
      </c>
      <c r="D6" s="1">
        <v>3.0</v>
      </c>
      <c r="E6" s="1">
        <v>136.18</v>
      </c>
      <c r="F6" s="1">
        <v>99.04</v>
      </c>
      <c r="G6" s="1">
        <v>68.0</v>
      </c>
      <c r="I6" s="1">
        <f t="shared" si="1"/>
        <v>591.9051627</v>
      </c>
      <c r="K6" s="1">
        <v>5342.4</v>
      </c>
      <c r="L6" s="1">
        <v>1.0</v>
      </c>
      <c r="M6" s="1">
        <v>1.0</v>
      </c>
      <c r="N6" s="1">
        <v>2.0</v>
      </c>
      <c r="P6" s="1">
        <f t="shared" si="2"/>
        <v>833.0194648</v>
      </c>
    </row>
    <row r="7" ht="15.75" customHeight="1">
      <c r="A7" s="1">
        <v>6317.0</v>
      </c>
      <c r="B7" s="1">
        <v>2.0</v>
      </c>
      <c r="C7" s="1">
        <v>2.0</v>
      </c>
      <c r="D7" s="1">
        <v>3.0</v>
      </c>
      <c r="E7" s="1">
        <v>136.18</v>
      </c>
      <c r="F7" s="1">
        <v>99.04</v>
      </c>
      <c r="G7" s="1">
        <v>68.0</v>
      </c>
      <c r="I7" s="1">
        <f t="shared" si="1"/>
        <v>498.2567259</v>
      </c>
      <c r="K7" s="1">
        <v>6282.0</v>
      </c>
      <c r="L7" s="1">
        <v>2.0</v>
      </c>
      <c r="M7" s="1">
        <v>0.0</v>
      </c>
      <c r="N7" s="1">
        <v>2.0</v>
      </c>
      <c r="P7" s="1">
        <f t="shared" si="2"/>
        <v>838.8271352</v>
      </c>
    </row>
    <row r="8" ht="15.75" customHeight="1">
      <c r="A8" s="1">
        <v>7430.3</v>
      </c>
      <c r="B8" s="1">
        <v>4.0</v>
      </c>
      <c r="C8" s="1">
        <v>1.0</v>
      </c>
      <c r="D8" s="1">
        <v>3.0</v>
      </c>
      <c r="E8" s="1">
        <v>136.18</v>
      </c>
      <c r="F8" s="1">
        <v>99.04</v>
      </c>
      <c r="G8" s="1">
        <v>68.0</v>
      </c>
      <c r="I8" s="1">
        <f t="shared" si="1"/>
        <v>473.6957172</v>
      </c>
    </row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26" width="10.56"/>
  </cols>
  <sheetData>
    <row r="1" ht="15.75" customHeight="1">
      <c r="A1" s="2" t="s">
        <v>0</v>
      </c>
      <c r="B1" s="2" t="s">
        <v>1</v>
      </c>
      <c r="C1" s="2" t="s">
        <v>2</v>
      </c>
      <c r="D1" s="2" t="s">
        <v>17</v>
      </c>
      <c r="E1" s="2" t="s">
        <v>4</v>
      </c>
      <c r="F1" s="2" t="s">
        <v>5</v>
      </c>
      <c r="G1" s="2" t="s">
        <v>6</v>
      </c>
      <c r="H1" s="2" t="s">
        <v>7</v>
      </c>
      <c r="I1" s="1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7</v>
      </c>
      <c r="P1" s="1" t="s">
        <v>13</v>
      </c>
    </row>
    <row r="2" ht="15.75" customHeight="1">
      <c r="A2" s="1">
        <v>1876.1</v>
      </c>
      <c r="B2" s="1">
        <v>1.0</v>
      </c>
      <c r="C2" s="1">
        <v>1.0</v>
      </c>
      <c r="D2" s="1">
        <v>1.0</v>
      </c>
      <c r="E2" s="1">
        <v>164.03</v>
      </c>
      <c r="F2" s="1">
        <v>117.49</v>
      </c>
      <c r="G2" s="1">
        <v>53.0</v>
      </c>
      <c r="H2" s="1">
        <v>30.0</v>
      </c>
      <c r="I2" s="1">
        <f t="shared" ref="I2:I8" si="1">2*A2*(1/(((B2^2)/((E2/1000)^2))+((C2^2)/((F2/1000)^2))+((D2^2)/(G2/100)^2)))^0.5</f>
        <v>352.7121766</v>
      </c>
      <c r="K2" s="1">
        <v>1984.1</v>
      </c>
      <c r="L2" s="1">
        <v>1.0</v>
      </c>
      <c r="M2" s="1">
        <v>0.0</v>
      </c>
      <c r="N2" s="1">
        <v>1.0</v>
      </c>
      <c r="O2" s="3">
        <v>28.4</v>
      </c>
      <c r="P2" s="1">
        <f t="shared" ref="P2:P7" si="2">2*K2*(1/(((L2^2)/((E2/1000)^2))+((M2^2)/((F2/1000)^2))+((N2^2)/(G2/100)^2)))^0.5</f>
        <v>621.8050988</v>
      </c>
    </row>
    <row r="3" ht="15.75" customHeight="1">
      <c r="A3" s="1">
        <v>2511.7</v>
      </c>
      <c r="B3" s="1">
        <v>2.0</v>
      </c>
      <c r="C3" s="1">
        <v>1.0</v>
      </c>
      <c r="D3" s="1">
        <v>1.0</v>
      </c>
      <c r="E3" s="1">
        <v>164.03</v>
      </c>
      <c r="F3" s="1">
        <v>117.49</v>
      </c>
      <c r="G3" s="1">
        <v>53.0</v>
      </c>
      <c r="I3" s="1">
        <f t="shared" si="1"/>
        <v>335.1392784</v>
      </c>
      <c r="K3" s="1">
        <v>2415.1</v>
      </c>
      <c r="L3" s="1">
        <v>1.0</v>
      </c>
      <c r="M3" s="1">
        <v>0.0</v>
      </c>
      <c r="N3" s="1">
        <v>1.0</v>
      </c>
      <c r="P3" s="1">
        <f t="shared" si="2"/>
        <v>756.8779265</v>
      </c>
    </row>
    <row r="4" ht="15.75" customHeight="1">
      <c r="A4" s="1">
        <v>3313.8</v>
      </c>
      <c r="B4" s="1">
        <v>1.0</v>
      </c>
      <c r="C4" s="1">
        <v>0.0</v>
      </c>
      <c r="D4" s="1">
        <v>3.0</v>
      </c>
      <c r="E4" s="1">
        <v>164.03</v>
      </c>
      <c r="F4" s="1">
        <v>117.49</v>
      </c>
      <c r="G4" s="1">
        <v>53.0</v>
      </c>
      <c r="I4" s="1">
        <f t="shared" si="1"/>
        <v>796.6779082</v>
      </c>
      <c r="K4" s="1">
        <v>3050.2</v>
      </c>
      <c r="L4" s="1">
        <v>0.0</v>
      </c>
      <c r="M4" s="1">
        <v>1.0</v>
      </c>
      <c r="N4" s="1">
        <v>1.0</v>
      </c>
      <c r="P4" s="1">
        <f t="shared" si="2"/>
        <v>699.7487706</v>
      </c>
    </row>
    <row r="5" ht="15.75" customHeight="1">
      <c r="A5" s="1">
        <v>4366.6</v>
      </c>
      <c r="B5" s="1">
        <v>0.0</v>
      </c>
      <c r="C5" s="1">
        <v>2.0</v>
      </c>
      <c r="D5" s="3">
        <v>3.0</v>
      </c>
      <c r="E5" s="1">
        <v>164.03</v>
      </c>
      <c r="F5" s="1">
        <v>117.49</v>
      </c>
      <c r="G5" s="1">
        <v>53.0</v>
      </c>
      <c r="I5" s="1">
        <f t="shared" si="1"/>
        <v>486.8235517</v>
      </c>
      <c r="K5" s="1">
        <v>4257.6</v>
      </c>
      <c r="L5" s="1">
        <v>1.0</v>
      </c>
      <c r="M5" s="1">
        <v>1.0</v>
      </c>
      <c r="N5" s="1">
        <v>2.0</v>
      </c>
      <c r="P5" s="1">
        <f t="shared" si="2"/>
        <v>765.1508108</v>
      </c>
    </row>
    <row r="6" ht="15.75" customHeight="1">
      <c r="A6" s="1">
        <v>5357.8</v>
      </c>
      <c r="B6" s="1">
        <v>2.0</v>
      </c>
      <c r="C6" s="1">
        <v>1.0</v>
      </c>
      <c r="D6" s="3">
        <v>3.0</v>
      </c>
      <c r="E6" s="1">
        <v>164.03</v>
      </c>
      <c r="F6" s="1">
        <v>117.49</v>
      </c>
      <c r="G6" s="1">
        <v>53.0</v>
      </c>
      <c r="I6" s="1">
        <f t="shared" si="1"/>
        <v>673.4846853</v>
      </c>
      <c r="K6" s="1">
        <v>5662.1</v>
      </c>
      <c r="L6" s="1">
        <v>2.0</v>
      </c>
      <c r="M6" s="1">
        <v>0.0</v>
      </c>
      <c r="N6" s="1">
        <v>2.0</v>
      </c>
      <c r="P6" s="1">
        <f t="shared" si="2"/>
        <v>887.2341741</v>
      </c>
    </row>
    <row r="7" ht="15.75" customHeight="1">
      <c r="A7" s="1">
        <v>6318.0</v>
      </c>
      <c r="B7" s="1">
        <v>2.0</v>
      </c>
      <c r="C7" s="1">
        <v>1.0</v>
      </c>
      <c r="D7" s="3">
        <v>3.0</v>
      </c>
      <c r="E7" s="1">
        <v>164.03</v>
      </c>
      <c r="F7" s="1">
        <v>117.49</v>
      </c>
      <c r="G7" s="1">
        <v>53.0</v>
      </c>
      <c r="I7" s="1">
        <f t="shared" si="1"/>
        <v>794.1834786</v>
      </c>
      <c r="K7" s="1">
        <v>7008.6</v>
      </c>
      <c r="L7" s="1">
        <v>2.0</v>
      </c>
      <c r="M7" s="1">
        <v>1.0</v>
      </c>
      <c r="N7" s="1">
        <v>2.0</v>
      </c>
      <c r="P7" s="1">
        <f t="shared" si="2"/>
        <v>913.7014512</v>
      </c>
    </row>
    <row r="8" ht="15.75" customHeight="1">
      <c r="A8" s="1">
        <v>7350.8</v>
      </c>
      <c r="B8" s="1">
        <v>2.0</v>
      </c>
      <c r="C8" s="1">
        <v>1.0</v>
      </c>
      <c r="D8" s="3">
        <v>4.0</v>
      </c>
      <c r="E8" s="1">
        <v>164.03</v>
      </c>
      <c r="F8" s="1">
        <v>117.49</v>
      </c>
      <c r="G8" s="1">
        <v>53.0</v>
      </c>
      <c r="I8" s="1">
        <f t="shared" si="1"/>
        <v>881.632905</v>
      </c>
    </row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26" width="10.56"/>
  </cols>
  <sheetData>
    <row r="1" ht="15.75" customHeight="1">
      <c r="A1" s="2" t="s">
        <v>0</v>
      </c>
      <c r="B1" s="2" t="s">
        <v>1</v>
      </c>
      <c r="C1" s="2" t="s">
        <v>2</v>
      </c>
      <c r="D1" s="2" t="s">
        <v>17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7</v>
      </c>
      <c r="P1" s="2" t="s">
        <v>13</v>
      </c>
    </row>
    <row r="2" ht="15.75" customHeight="1">
      <c r="A2" s="1">
        <v>1285.2</v>
      </c>
      <c r="B2" s="1">
        <v>1.0</v>
      </c>
      <c r="C2" s="1">
        <v>0.0</v>
      </c>
      <c r="D2" s="1">
        <v>0.0</v>
      </c>
      <c r="E2" s="1">
        <v>134.48</v>
      </c>
      <c r="F2" s="1">
        <v>98.78</v>
      </c>
      <c r="G2" s="1">
        <v>20.0</v>
      </c>
      <c r="H2" s="1">
        <v>29.9</v>
      </c>
      <c r="I2" s="1">
        <f t="shared" ref="I2:I8" si="1">2*A2*(1/(((B2^2)/((E2/1000)^2))+((C2^2)/((F2/1000)^2))+((D2^2)/(G2/100)^2)))^0.5</f>
        <v>345.667392</v>
      </c>
      <c r="K2" s="1">
        <v>3024.6</v>
      </c>
      <c r="L2" s="1">
        <v>1.0</v>
      </c>
      <c r="M2" s="1">
        <v>0.0</v>
      </c>
      <c r="N2" s="1">
        <v>1.0</v>
      </c>
      <c r="O2" s="1">
        <v>28.7</v>
      </c>
      <c r="P2" s="1">
        <f t="shared" ref="P2:P8" si="2">2*K2*(1/(((L2^2)/((E2/1000)^2))+((M2^2)/((F2/1000)^2))+((N2^2)/(G2/100)^2)))^0.5</f>
        <v>675.0782676</v>
      </c>
    </row>
    <row r="3" ht="15.75" customHeight="1">
      <c r="A3" s="1">
        <v>2071.3</v>
      </c>
      <c r="B3" s="1">
        <v>1.0</v>
      </c>
      <c r="C3" s="1">
        <v>1.0</v>
      </c>
      <c r="D3" s="1">
        <v>1.0</v>
      </c>
      <c r="E3" s="1">
        <v>134.48</v>
      </c>
      <c r="F3" s="1">
        <v>98.78</v>
      </c>
      <c r="G3" s="1">
        <v>20.0</v>
      </c>
      <c r="I3" s="1">
        <f t="shared" si="1"/>
        <v>306.4138507</v>
      </c>
      <c r="K3" s="1">
        <v>3929.6</v>
      </c>
      <c r="L3" s="1">
        <v>1.0</v>
      </c>
      <c r="M3" s="1">
        <v>0.0</v>
      </c>
      <c r="N3" s="1">
        <v>1.0</v>
      </c>
      <c r="P3" s="1">
        <f t="shared" si="2"/>
        <v>877.0705417</v>
      </c>
    </row>
    <row r="4" ht="15.75" customHeight="1">
      <c r="A4" s="1">
        <v>3080.0</v>
      </c>
      <c r="B4" s="1">
        <v>2.0</v>
      </c>
      <c r="C4" s="1">
        <v>1.0</v>
      </c>
      <c r="D4" s="1">
        <v>1.0</v>
      </c>
      <c r="E4" s="1">
        <v>134.48</v>
      </c>
      <c r="F4" s="1">
        <v>98.78</v>
      </c>
      <c r="G4" s="1">
        <v>20.0</v>
      </c>
      <c r="I4" s="1">
        <f t="shared" si="1"/>
        <v>329.8957292</v>
      </c>
      <c r="K4" s="1">
        <v>4982.1</v>
      </c>
      <c r="L4" s="1">
        <v>0.0</v>
      </c>
      <c r="M4" s="1">
        <v>1.0</v>
      </c>
      <c r="N4" s="1">
        <v>1.0</v>
      </c>
      <c r="P4" s="1">
        <f t="shared" si="2"/>
        <v>882.4949489</v>
      </c>
    </row>
    <row r="5" ht="15.75" customHeight="1">
      <c r="A5" s="1">
        <v>4320.8</v>
      </c>
      <c r="B5" s="1">
        <v>2.0</v>
      </c>
      <c r="C5" s="1">
        <v>2.0</v>
      </c>
      <c r="D5" s="1">
        <v>2.0</v>
      </c>
      <c r="E5" s="1">
        <v>134.48</v>
      </c>
      <c r="F5" s="1">
        <v>98.78</v>
      </c>
      <c r="G5" s="1">
        <v>20.0</v>
      </c>
      <c r="I5" s="1">
        <f t="shared" si="1"/>
        <v>319.5946908</v>
      </c>
      <c r="K5" s="1">
        <v>5995.5</v>
      </c>
      <c r="L5" s="1">
        <v>1.0</v>
      </c>
      <c r="M5" s="1">
        <v>1.0</v>
      </c>
      <c r="N5" s="1">
        <v>2.0</v>
      </c>
      <c r="P5" s="1">
        <f t="shared" si="2"/>
        <v>746.8452112</v>
      </c>
    </row>
    <row r="6" ht="15.75" customHeight="1">
      <c r="A6" s="1">
        <v>5412.1</v>
      </c>
      <c r="B6" s="1">
        <v>4.0</v>
      </c>
      <c r="C6" s="1">
        <v>1.0</v>
      </c>
      <c r="D6" s="1">
        <v>2.0</v>
      </c>
      <c r="E6" s="1">
        <v>134.48</v>
      </c>
      <c r="F6" s="1">
        <v>98.78</v>
      </c>
      <c r="G6" s="1">
        <v>20.0</v>
      </c>
      <c r="I6" s="1">
        <f t="shared" si="1"/>
        <v>328.2770513</v>
      </c>
      <c r="K6" s="1">
        <v>6555.6</v>
      </c>
      <c r="L6" s="1">
        <v>1.0</v>
      </c>
      <c r="M6" s="1">
        <v>1.0</v>
      </c>
      <c r="N6" s="1">
        <v>2.0</v>
      </c>
      <c r="P6" s="1">
        <f t="shared" si="2"/>
        <v>816.6155394</v>
      </c>
    </row>
    <row r="7" ht="15.75" customHeight="1">
      <c r="A7" s="1">
        <v>6476.4</v>
      </c>
      <c r="B7" s="1">
        <v>2.0</v>
      </c>
      <c r="C7" s="1">
        <v>2.0</v>
      </c>
      <c r="D7" s="1">
        <v>3.0</v>
      </c>
      <c r="E7" s="1">
        <v>134.48</v>
      </c>
      <c r="F7" s="1">
        <v>98.78</v>
      </c>
      <c r="G7" s="1">
        <v>20.0</v>
      </c>
      <c r="I7" s="1">
        <f t="shared" si="1"/>
        <v>442.6863249</v>
      </c>
      <c r="K7" s="1">
        <v>8432.5</v>
      </c>
      <c r="L7" s="1">
        <v>2.0</v>
      </c>
      <c r="M7" s="1">
        <v>1.0</v>
      </c>
      <c r="N7" s="1">
        <v>2.0</v>
      </c>
      <c r="P7" s="1">
        <f t="shared" si="2"/>
        <v>819.3607989</v>
      </c>
    </row>
    <row r="8" ht="15.75" customHeight="1">
      <c r="A8" s="1">
        <v>7848.2</v>
      </c>
      <c r="B8" s="1">
        <v>6.0</v>
      </c>
      <c r="C8" s="1">
        <v>1.0</v>
      </c>
      <c r="D8" s="1">
        <v>3.0</v>
      </c>
      <c r="E8" s="1">
        <v>134.48</v>
      </c>
      <c r="F8" s="1">
        <v>98.78</v>
      </c>
      <c r="G8" s="1">
        <v>20.0</v>
      </c>
      <c r="I8" s="1">
        <f t="shared" si="1"/>
        <v>326.0123194</v>
      </c>
      <c r="K8" s="1">
        <v>9957.9</v>
      </c>
      <c r="L8" s="1">
        <v>0.0</v>
      </c>
      <c r="M8" s="1">
        <v>2.0</v>
      </c>
      <c r="N8" s="1">
        <v>2.0</v>
      </c>
      <c r="P8" s="1">
        <f t="shared" si="2"/>
        <v>881.9369796</v>
      </c>
    </row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26" width="10.56"/>
  </cols>
  <sheetData>
    <row r="1" ht="15.75" customHeight="1">
      <c r="A1" s="2" t="s">
        <v>0</v>
      </c>
      <c r="B1" s="2" t="s">
        <v>1</v>
      </c>
      <c r="C1" s="2" t="s">
        <v>2</v>
      </c>
      <c r="D1" s="2" t="s">
        <v>17</v>
      </c>
      <c r="E1" s="2" t="s">
        <v>4</v>
      </c>
      <c r="F1" s="2" t="s">
        <v>5</v>
      </c>
      <c r="G1" s="2" t="s">
        <v>6</v>
      </c>
      <c r="H1" s="2" t="s">
        <v>7</v>
      </c>
      <c r="I1" s="4" t="s">
        <v>8</v>
      </c>
      <c r="J1" s="2" t="s">
        <v>9</v>
      </c>
      <c r="K1" s="2" t="s">
        <v>10</v>
      </c>
      <c r="L1" s="2" t="s">
        <v>11</v>
      </c>
      <c r="M1" s="2" t="s">
        <v>7</v>
      </c>
    </row>
    <row r="2" ht="15.75" customHeight="1">
      <c r="A2" s="1">
        <v>1048.64</v>
      </c>
      <c r="B2" s="1">
        <v>1.0</v>
      </c>
      <c r="C2" s="1">
        <v>0.0</v>
      </c>
      <c r="D2" s="3">
        <v>0.0</v>
      </c>
      <c r="E2" s="1">
        <v>169.45</v>
      </c>
      <c r="F2" s="1">
        <v>52.32</v>
      </c>
      <c r="G2" s="1">
        <v>28.5</v>
      </c>
      <c r="H2" s="1">
        <v>30.4</v>
      </c>
      <c r="I2" s="1">
        <f t="shared" ref="I2:I8" si="1">2*A2*(1/(((B2^2)/((E2/1000)^2))+((C2^2)/((F2/1000)^2))+((D2^2)/(G2/100)^2)))^0.5</f>
        <v>355.384096</v>
      </c>
      <c r="J2" s="1" t="s">
        <v>19</v>
      </c>
      <c r="M2" s="3">
        <v>28.7</v>
      </c>
    </row>
    <row r="3" ht="15.75" customHeight="1">
      <c r="A3" s="1">
        <v>2121.0</v>
      </c>
      <c r="B3" s="1">
        <v>2.0</v>
      </c>
      <c r="C3" s="1">
        <v>0.0</v>
      </c>
      <c r="D3" s="1">
        <v>1.0</v>
      </c>
      <c r="E3" s="1">
        <v>169.45</v>
      </c>
      <c r="F3" s="1">
        <v>52.32</v>
      </c>
      <c r="G3" s="1">
        <v>28.5</v>
      </c>
      <c r="I3" s="1">
        <f t="shared" si="1"/>
        <v>344.502835</v>
      </c>
    </row>
    <row r="4" ht="15.75" customHeight="1">
      <c r="A4" s="1">
        <v>3068.5</v>
      </c>
      <c r="B4" s="1">
        <v>3.0</v>
      </c>
      <c r="C4" s="1">
        <v>0.0</v>
      </c>
      <c r="D4" s="1">
        <v>2.0</v>
      </c>
      <c r="E4" s="1">
        <v>169.45</v>
      </c>
      <c r="F4" s="1">
        <v>52.32</v>
      </c>
      <c r="G4" s="1">
        <v>28.5</v>
      </c>
      <c r="I4" s="1">
        <f t="shared" si="1"/>
        <v>322.246818</v>
      </c>
    </row>
    <row r="5" ht="15.75" customHeight="1">
      <c r="A5" s="1">
        <v>4488.6</v>
      </c>
      <c r="B5" s="1">
        <v>3.0</v>
      </c>
      <c r="C5" s="1">
        <v>1.0</v>
      </c>
      <c r="D5" s="1">
        <v>2.0</v>
      </c>
      <c r="E5" s="1">
        <v>169.45</v>
      </c>
      <c r="F5" s="1">
        <v>52.32</v>
      </c>
      <c r="G5" s="1">
        <v>28.5</v>
      </c>
      <c r="I5" s="1">
        <f t="shared" si="1"/>
        <v>332.7167141</v>
      </c>
    </row>
    <row r="6" ht="15.75" customHeight="1">
      <c r="A6" s="1">
        <v>5104.3</v>
      </c>
      <c r="B6" s="1">
        <v>5.0</v>
      </c>
      <c r="C6" s="1">
        <v>0.0</v>
      </c>
      <c r="D6" s="1">
        <v>3.0</v>
      </c>
      <c r="E6" s="1">
        <v>169.45</v>
      </c>
      <c r="F6" s="1">
        <v>52.32</v>
      </c>
      <c r="G6" s="1">
        <v>28.5</v>
      </c>
      <c r="I6" s="1">
        <f t="shared" si="1"/>
        <v>325.8558196</v>
      </c>
    </row>
    <row r="7" ht="15.75" customHeight="1">
      <c r="A7" s="1">
        <v>6139.7</v>
      </c>
      <c r="B7" s="1">
        <v>6.0</v>
      </c>
      <c r="C7" s="1">
        <v>0.0</v>
      </c>
      <c r="D7" s="1">
        <v>4.0</v>
      </c>
      <c r="E7" s="1">
        <v>169.45</v>
      </c>
      <c r="F7" s="1">
        <v>52.32</v>
      </c>
      <c r="G7" s="1">
        <v>28.5</v>
      </c>
      <c r="I7" s="1">
        <f t="shared" si="1"/>
        <v>322.3885919</v>
      </c>
    </row>
    <row r="8" ht="15.75" customHeight="1">
      <c r="A8" s="1">
        <v>7865.8</v>
      </c>
      <c r="B8" s="1">
        <v>7.0</v>
      </c>
      <c r="C8" s="1">
        <v>1.0</v>
      </c>
      <c r="D8" s="1">
        <v>5.0</v>
      </c>
      <c r="E8" s="1">
        <v>169.45</v>
      </c>
      <c r="F8" s="1">
        <v>52.32</v>
      </c>
      <c r="G8" s="1">
        <v>28.5</v>
      </c>
      <c r="I8" s="1">
        <f t="shared" si="1"/>
        <v>322.4917275</v>
      </c>
    </row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26" width="10.56"/>
  </cols>
  <sheetData>
    <row r="1" ht="15.75" customHeight="1">
      <c r="A1" s="1" t="s">
        <v>4</v>
      </c>
      <c r="B1" s="1" t="s">
        <v>5</v>
      </c>
      <c r="C1" s="1" t="s">
        <v>6</v>
      </c>
      <c r="D1" s="1" t="s">
        <v>0</v>
      </c>
      <c r="E1" s="1" t="s">
        <v>1</v>
      </c>
      <c r="F1" s="1" t="s">
        <v>2</v>
      </c>
      <c r="G1" s="1" t="s">
        <v>17</v>
      </c>
      <c r="H1" s="1" t="s">
        <v>8</v>
      </c>
      <c r="I1" s="3" t="s">
        <v>20</v>
      </c>
    </row>
    <row r="2" ht="15.75" customHeight="1">
      <c r="A2" s="1">
        <v>131.03</v>
      </c>
      <c r="B2" s="1">
        <v>99.52</v>
      </c>
      <c r="C2" s="1">
        <v>127.0</v>
      </c>
      <c r="D2" s="1">
        <v>3962.9</v>
      </c>
      <c r="E2" s="1">
        <v>3.0</v>
      </c>
      <c r="F2" s="1">
        <v>1.0</v>
      </c>
      <c r="G2" s="1">
        <v>1.0</v>
      </c>
      <c r="H2" s="1">
        <f t="shared" ref="H2:H4" si="1">2*D2*(1/(((A2^2)/((E2*100)^2))+((B2^2)/((F2*100)^2))+((C2^2)/((G2*100)^2)))^0.5)</f>
        <v>4741.579718</v>
      </c>
      <c r="I2" s="3">
        <v>28.7</v>
      </c>
    </row>
    <row r="3" ht="15.75" customHeight="1">
      <c r="A3" s="1">
        <v>152.43</v>
      </c>
      <c r="B3" s="1">
        <v>99.52</v>
      </c>
      <c r="C3" s="1">
        <v>127.0</v>
      </c>
      <c r="D3" s="1">
        <v>3962.9</v>
      </c>
      <c r="E3" s="1">
        <v>2.0</v>
      </c>
      <c r="F3" s="1">
        <v>2.0</v>
      </c>
      <c r="G3" s="1">
        <v>2.0</v>
      </c>
      <c r="H3" s="1">
        <f t="shared" si="1"/>
        <v>7141.509892</v>
      </c>
    </row>
    <row r="4" ht="15.75" customHeight="1">
      <c r="A4" s="1">
        <v>88.16</v>
      </c>
      <c r="B4" s="1">
        <v>99.52</v>
      </c>
      <c r="C4" s="1">
        <v>127.0</v>
      </c>
      <c r="D4" s="1">
        <v>3962.9</v>
      </c>
      <c r="E4" s="1">
        <v>1.0</v>
      </c>
      <c r="F4" s="1">
        <v>2.0</v>
      </c>
      <c r="G4" s="1">
        <v>2.0</v>
      </c>
      <c r="H4" s="1">
        <f t="shared" si="1"/>
        <v>6632.412143</v>
      </c>
    </row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2022-01-25T18:15:32Z</dcterms:created>
  <dc:creator>Dylan McAfee</dc:creator>
</cp:coreProperties>
</file>