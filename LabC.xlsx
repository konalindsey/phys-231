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alindsey/Desktop/lab/c/"/>
    </mc:Choice>
  </mc:AlternateContent>
  <xr:revisionPtr revIDLastSave="0" documentId="13_ncr:1_{1A00324C-A9A9-584F-8AC7-78346B139310}" xr6:coauthVersionLast="47" xr6:coauthVersionMax="47" xr10:uidLastSave="{00000000-0000-0000-0000-000000000000}"/>
  <bookViews>
    <workbookView xWindow="38600" yWindow="2500" windowWidth="27240" windowHeight="17500" xr2:uid="{D9853797-B0A1-4B4F-9001-2A8405814F7E}"/>
  </bookViews>
  <sheets>
    <sheet name="Sheet1" sheetId="1" r:id="rId1"/>
    <sheet name="Sheet2" sheetId="3" r:id="rId2"/>
    <sheet name="Sheet3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5" l="1"/>
  <c r="G6" i="5"/>
  <c r="G5" i="5"/>
  <c r="I5" i="5" s="1"/>
  <c r="G4" i="5"/>
  <c r="I4" i="5" s="1"/>
  <c r="G3" i="5"/>
  <c r="I3" i="5" s="1"/>
  <c r="G2" i="5"/>
  <c r="I2" i="5" s="1"/>
  <c r="G6" i="4"/>
  <c r="I6" i="4" s="1"/>
  <c r="G5" i="4"/>
  <c r="I5" i="4" s="1"/>
  <c r="G4" i="4"/>
  <c r="I4" i="4" s="1"/>
  <c r="G3" i="4"/>
  <c r="I3" i="4" s="1"/>
  <c r="G2" i="4"/>
  <c r="I2" i="4" s="1"/>
  <c r="G6" i="3"/>
  <c r="I6" i="3" s="1"/>
  <c r="G5" i="3"/>
  <c r="I5" i="3" s="1"/>
  <c r="G4" i="3"/>
  <c r="I4" i="3" s="1"/>
  <c r="G3" i="3"/>
  <c r="I3" i="3" s="1"/>
  <c r="I2" i="3"/>
  <c r="G2" i="3"/>
  <c r="I3" i="1"/>
  <c r="I4" i="1"/>
  <c r="I5" i="1"/>
  <c r="I6" i="1"/>
  <c r="I2" i="1"/>
  <c r="G5" i="1"/>
  <c r="G6" i="1"/>
  <c r="F5" i="1"/>
  <c r="F4" i="1"/>
  <c r="G4" i="1"/>
  <c r="F2" i="1"/>
  <c r="F3" i="1"/>
  <c r="G3" i="1"/>
  <c r="G2" i="1"/>
</calcChain>
</file>

<file path=xl/sharedStrings.xml><?xml version="1.0" encoding="utf-8"?>
<sst xmlns="http://schemas.openxmlformats.org/spreadsheetml/2006/main" count="36" uniqueCount="9">
  <si>
    <t>trials</t>
  </si>
  <si>
    <t>L (cm)</t>
  </si>
  <si>
    <t>focal length (cm)</t>
  </si>
  <si>
    <t>d_f</t>
  </si>
  <si>
    <t>d_i</t>
  </si>
  <si>
    <t>d</t>
  </si>
  <si>
    <t>f_i</t>
  </si>
  <si>
    <t>f_f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</si>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</sst>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F4D0-70AA-1E45-9A47-A3F7DC225CBE}">
  <dimension ref="A1:K24"/>
  <sheetViews>
    <sheetView tabSelected="1" zoomScale="99" workbookViewId="0">
      <selection activeCell="G18" sqref="G18"/>
    </sheetView>
  </sheetViews>
  <sheetFormatPr baseColWidth="10" defaultRowHeight="16" x14ac:dyDescent="0.2"/>
  <cols>
    <col min="7" max="7" width="13.1640625" bestFit="1" customWidth="1"/>
    <col min="10" max="10" width="13.83203125" bestFit="1" customWidth="1"/>
  </cols>
  <sheetData>
    <row r="1" spans="1:11" x14ac:dyDescent="0.2">
      <c r="A1" t="s">
        <v>0</v>
      </c>
      <c r="B1" t="s">
        <v>7</v>
      </c>
      <c r="C1" t="s">
        <v>6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8</v>
      </c>
    </row>
    <row r="2" spans="1:11" x14ac:dyDescent="0.2">
      <c r="A2">
        <v>1</v>
      </c>
      <c r="B2">
        <v>680.1</v>
      </c>
      <c r="C2">
        <v>66.5</v>
      </c>
      <c r="D2">
        <v>2.7</v>
      </c>
      <c r="E2">
        <v>6</v>
      </c>
      <c r="F2">
        <f>0.0067*2.54</f>
        <v>1.7018000000000002E-2</v>
      </c>
      <c r="G2">
        <f>(((104*30.5)+23.3-6.1+3.5+1.9-1.8-6.6+223+54)*2)+4.3</f>
        <v>6930.7000000000007</v>
      </c>
      <c r="H2">
        <v>41.4</v>
      </c>
      <c r="I2" s="1">
        <f>(PI()*(((B2-C2)*G2*H2)/F2))/100</f>
        <v>325015554.60901648</v>
      </c>
      <c r="K2" s="1"/>
    </row>
    <row r="3" spans="1:11" x14ac:dyDescent="0.2">
      <c r="B3">
        <v>765.5</v>
      </c>
      <c r="C3">
        <v>393</v>
      </c>
      <c r="D3">
        <v>1.1000000000000001</v>
      </c>
      <c r="E3">
        <v>9.6999999999999993</v>
      </c>
      <c r="F3">
        <f>(0.0118)*2.54</f>
        <v>2.9971999999999999E-2</v>
      </c>
      <c r="G3">
        <f>(((104*30.5)+23.3-6.1+3.5+1.9-1.8-6.6+223+54)*2)+4.3</f>
        <v>6930.7000000000007</v>
      </c>
      <c r="H3">
        <v>41.4</v>
      </c>
      <c r="I3" s="1">
        <f>(PI()*(((B3-C3)*G3*H3)/F3))/100</f>
        <v>112030910.99146093</v>
      </c>
    </row>
    <row r="4" spans="1:11" x14ac:dyDescent="0.2">
      <c r="B4">
        <v>597.5</v>
      </c>
      <c r="C4">
        <v>198.5</v>
      </c>
      <c r="D4">
        <v>4.5999999999999996</v>
      </c>
      <c r="E4">
        <v>9.6999999999999993</v>
      </c>
      <c r="F4">
        <f>0.0049*2.54</f>
        <v>1.2446E-2</v>
      </c>
      <c r="G4">
        <f>(((104*30.5)+23.3-6.1+3.5+1.9-1.8-6.6+223+54)*2)+4.3</f>
        <v>6930.7000000000007</v>
      </c>
      <c r="H4">
        <v>41.4</v>
      </c>
      <c r="I4" s="1">
        <f>(PI()*(((B4-C4)*G4*H4)/F4))/100</f>
        <v>288981747.77701479</v>
      </c>
    </row>
    <row r="5" spans="1:11" x14ac:dyDescent="0.2">
      <c r="B5">
        <v>607.5</v>
      </c>
      <c r="C5">
        <v>288.5</v>
      </c>
      <c r="D5">
        <v>7.1</v>
      </c>
      <c r="E5">
        <v>7.6</v>
      </c>
      <c r="F5">
        <f>0.0096*2.54</f>
        <v>2.4383999999999999E-2</v>
      </c>
      <c r="G5">
        <f t="shared" ref="G5:G6" si="0">(((104*30.5)+23.3-6.1+3.5+1.9-1.8-6.6+223+54)*2)+4.3</f>
        <v>6930.7000000000007</v>
      </c>
      <c r="H5">
        <v>41.4</v>
      </c>
      <c r="I5" s="1">
        <f>(PI()*(((B5-C5)*G5*H5)/F5))/100</f>
        <v>117926944.95359541</v>
      </c>
    </row>
    <row r="6" spans="1:11" x14ac:dyDescent="0.2">
      <c r="B6">
        <v>525.5</v>
      </c>
      <c r="C6">
        <v>77.5</v>
      </c>
      <c r="D6">
        <v>3</v>
      </c>
      <c r="E6">
        <v>1.5</v>
      </c>
      <c r="F6">
        <v>1.15E-2</v>
      </c>
      <c r="G6">
        <f t="shared" si="0"/>
        <v>6930.7000000000007</v>
      </c>
      <c r="H6">
        <v>41.4</v>
      </c>
      <c r="I6" s="1">
        <f>(PI()*(((B6-C6)*G6*H6)/F6))/100</f>
        <v>351161979.10189855</v>
      </c>
    </row>
    <row r="7" spans="1:11" x14ac:dyDescent="0.2">
      <c r="J7" s="1"/>
    </row>
    <row r="8" spans="1:11" x14ac:dyDescent="0.2">
      <c r="J8" s="1"/>
    </row>
    <row r="9" spans="1:11" x14ac:dyDescent="0.2">
      <c r="J9" s="1"/>
    </row>
    <row r="10" spans="1:11" x14ac:dyDescent="0.2">
      <c r="J10" s="1"/>
    </row>
    <row r="11" spans="1:11" x14ac:dyDescent="0.2">
      <c r="J11" s="1"/>
    </row>
    <row r="12" spans="1:11" x14ac:dyDescent="0.2">
      <c r="J12" s="1"/>
    </row>
    <row r="13" spans="1:11" x14ac:dyDescent="0.2">
      <c r="J13" s="1"/>
    </row>
    <row r="14" spans="1:11" x14ac:dyDescent="0.2">
      <c r="J14" s="1"/>
    </row>
    <row r="15" spans="1:11" x14ac:dyDescent="0.2">
      <c r="J15" s="1"/>
    </row>
    <row r="16" spans="1:11" x14ac:dyDescent="0.2">
      <c r="J16" s="1"/>
    </row>
    <row r="17" spans="10:10" x14ac:dyDescent="0.2">
      <c r="J17" s="1"/>
    </row>
    <row r="18" spans="10:10" x14ac:dyDescent="0.2">
      <c r="J18" s="1"/>
    </row>
    <row r="19" spans="10:10" x14ac:dyDescent="0.2">
      <c r="J19" s="1"/>
    </row>
    <row r="20" spans="10:10" x14ac:dyDescent="0.2">
      <c r="J20" s="1"/>
    </row>
    <row r="21" spans="10:10" x14ac:dyDescent="0.2">
      <c r="J21" s="1"/>
    </row>
    <row r="22" spans="10:10" x14ac:dyDescent="0.2">
      <c r="J22" s="1"/>
    </row>
    <row r="23" spans="10:10" x14ac:dyDescent="0.2">
      <c r="J23" s="1"/>
    </row>
    <row r="24" spans="10:10" x14ac:dyDescent="0.2">
      <c r="J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7238-F4A2-9C4C-A171-BA88AAC284EA}">
  <dimension ref="A1:I6"/>
  <sheetViews>
    <sheetView workbookViewId="0">
      <selection activeCell="B1" sqref="B1:I6"/>
    </sheetView>
  </sheetViews>
  <sheetFormatPr baseColWidth="10" defaultRowHeight="16" x14ac:dyDescent="0.2"/>
  <sheetData>
    <row r="1" spans="1:9" x14ac:dyDescent="0.2">
      <c r="A1" t="s">
        <v>0</v>
      </c>
      <c r="B1" t="s">
        <v>7</v>
      </c>
      <c r="C1" t="s">
        <v>6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8</v>
      </c>
    </row>
    <row r="2" spans="1:9" x14ac:dyDescent="0.2">
      <c r="A2">
        <v>2</v>
      </c>
      <c r="B2">
        <v>361.9</v>
      </c>
      <c r="C2">
        <v>121.8</v>
      </c>
      <c r="D2">
        <v>7.6</v>
      </c>
      <c r="E2">
        <v>7.3</v>
      </c>
      <c r="F2">
        <v>2.3E-2</v>
      </c>
      <c r="G2">
        <f>(((104*30.5)+23.3-6.1+3.5+1.9-1.8-6.6+223+54)*2)+4.3+(2*30.4*104)</f>
        <v>13253.900000000001</v>
      </c>
      <c r="H2">
        <v>41.4</v>
      </c>
      <c r="I2" s="1">
        <f t="shared" ref="I2:I6" si="0">(PI()*(((B2-C2)*G2*H2)/F2))/100</f>
        <v>179952642.08327597</v>
      </c>
    </row>
    <row r="3" spans="1:9" x14ac:dyDescent="0.2">
      <c r="B3">
        <v>395.3</v>
      </c>
      <c r="C3">
        <v>123.1</v>
      </c>
      <c r="D3">
        <v>2.2999999999999998</v>
      </c>
      <c r="E3">
        <v>1.2</v>
      </c>
      <c r="F3">
        <v>3.1E-2</v>
      </c>
      <c r="G3">
        <f t="shared" ref="G3:G6" si="1">(((104*30.5)+23.3-6.1+3.5+1.9-1.8-6.6+223+54)*2)+4.3+(2*30.4*104)</f>
        <v>13253.900000000001</v>
      </c>
      <c r="H3">
        <v>41.4</v>
      </c>
      <c r="I3" s="1">
        <f t="shared" si="0"/>
        <v>151363210.35946822</v>
      </c>
    </row>
    <row r="4" spans="1:9" x14ac:dyDescent="0.2">
      <c r="B4">
        <v>510.3</v>
      </c>
      <c r="C4">
        <v>172.5</v>
      </c>
      <c r="D4">
        <v>3.6</v>
      </c>
      <c r="E4">
        <v>9.6999999999999993</v>
      </c>
      <c r="F4">
        <v>3.39E-2</v>
      </c>
      <c r="G4">
        <f t="shared" si="1"/>
        <v>13253.900000000001</v>
      </c>
      <c r="H4">
        <v>41.4</v>
      </c>
      <c r="I4" s="1">
        <f t="shared" si="0"/>
        <v>171772584.60422766</v>
      </c>
    </row>
    <row r="5" spans="1:9" x14ac:dyDescent="0.2">
      <c r="B5">
        <v>433.5</v>
      </c>
      <c r="C5">
        <v>90</v>
      </c>
      <c r="D5">
        <v>4.5</v>
      </c>
      <c r="E5">
        <v>9</v>
      </c>
      <c r="F5">
        <v>1.55E-2</v>
      </c>
      <c r="G5">
        <f t="shared" si="1"/>
        <v>13253.900000000001</v>
      </c>
      <c r="H5">
        <v>41.4</v>
      </c>
      <c r="I5" s="1">
        <f t="shared" si="0"/>
        <v>382022503.73605675</v>
      </c>
    </row>
    <row r="6" spans="1:9" x14ac:dyDescent="0.2">
      <c r="B6">
        <v>600.6</v>
      </c>
      <c r="C6">
        <v>274.5</v>
      </c>
      <c r="D6">
        <v>7.5</v>
      </c>
      <c r="E6">
        <v>2.2999999999999998</v>
      </c>
      <c r="F6">
        <v>1.5299999999999999E-2</v>
      </c>
      <c r="G6">
        <f t="shared" si="1"/>
        <v>13253.900000000001</v>
      </c>
      <c r="H6">
        <v>41.4</v>
      </c>
      <c r="I6" s="1">
        <f t="shared" si="0"/>
        <v>367411944.75537026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6A1D-470F-2846-9CD7-11F52EDBFD8C}">
  <dimension ref="A1:I6"/>
  <sheetViews>
    <sheetView workbookViewId="0">
      <selection activeCell="B1" sqref="B1:I6"/>
    </sheetView>
  </sheetViews>
  <sheetFormatPr baseColWidth="10" defaultRowHeight="16" x14ac:dyDescent="0.2"/>
  <sheetData>
    <row r="1" spans="1:9" x14ac:dyDescent="0.2">
      <c r="A1" t="s">
        <v>0</v>
      </c>
      <c r="B1" t="s">
        <v>7</v>
      </c>
      <c r="C1" t="s">
        <v>6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8</v>
      </c>
    </row>
    <row r="2" spans="1:9" x14ac:dyDescent="0.2">
      <c r="A2">
        <v>3</v>
      </c>
      <c r="B2">
        <v>604.9</v>
      </c>
      <c r="C2">
        <v>81</v>
      </c>
      <c r="D2">
        <v>0.64</v>
      </c>
      <c r="E2">
        <v>0.1</v>
      </c>
      <c r="F2">
        <v>3.6400000000000002E-2</v>
      </c>
      <c r="G2">
        <f>(((104*30.5)+23.3-6.1+3.5+1.9-1.8-6.6+223+54)*2)+4.3+(4*30.4*104)</f>
        <v>19577.099999999999</v>
      </c>
      <c r="H2">
        <v>41.4</v>
      </c>
      <c r="I2" s="1">
        <f t="shared" ref="I2:I6" si="0">(PI()*(((B2-C2)*G2*H2)/F2))/100</f>
        <v>366476041.56163889</v>
      </c>
    </row>
    <row r="3" spans="1:9" x14ac:dyDescent="0.2">
      <c r="B3">
        <v>570.5</v>
      </c>
      <c r="C3">
        <v>216.8</v>
      </c>
      <c r="D3">
        <v>0.8</v>
      </c>
      <c r="E3">
        <v>2.2000000000000002</v>
      </c>
      <c r="F3">
        <v>2.86E-2</v>
      </c>
      <c r="G3">
        <f t="shared" ref="G3:G6" si="1">(((104*30.5)+23.3-6.1+3.5+1.9-1.8-6.6+223+54)*2)+4.3+(4*30.4*104)</f>
        <v>19577.099999999999</v>
      </c>
      <c r="H3">
        <v>41.4</v>
      </c>
      <c r="I3" s="1">
        <f t="shared" si="0"/>
        <v>314896330.4247728</v>
      </c>
    </row>
    <row r="4" spans="1:9" x14ac:dyDescent="0.2">
      <c r="B4">
        <v>490.5</v>
      </c>
      <c r="C4">
        <v>95.5</v>
      </c>
      <c r="D4">
        <v>4.5999999999999996</v>
      </c>
      <c r="E4">
        <v>9</v>
      </c>
      <c r="F4">
        <v>3.56E-2</v>
      </c>
      <c r="G4">
        <f t="shared" si="1"/>
        <v>19577.099999999999</v>
      </c>
      <c r="H4">
        <v>41.4</v>
      </c>
      <c r="I4" s="1">
        <f t="shared" si="0"/>
        <v>282517705.66758621</v>
      </c>
    </row>
    <row r="5" spans="1:9" x14ac:dyDescent="0.2">
      <c r="B5">
        <v>616.6</v>
      </c>
      <c r="C5">
        <v>216.3</v>
      </c>
      <c r="D5">
        <v>1.1000000000000001</v>
      </c>
      <c r="E5">
        <v>7.5</v>
      </c>
      <c r="F5">
        <v>3.3599999999999998E-2</v>
      </c>
      <c r="G5">
        <f t="shared" si="1"/>
        <v>19577.099999999999</v>
      </c>
      <c r="H5">
        <v>41.4</v>
      </c>
      <c r="I5" s="1">
        <f t="shared" si="0"/>
        <v>303350619.18346578</v>
      </c>
    </row>
    <row r="6" spans="1:9" x14ac:dyDescent="0.2">
      <c r="B6">
        <v>531.20000000000005</v>
      </c>
      <c r="C6">
        <v>138.5</v>
      </c>
      <c r="D6">
        <v>1.6</v>
      </c>
      <c r="E6">
        <v>7.5</v>
      </c>
      <c r="F6">
        <v>2.3900000000000001E-2</v>
      </c>
      <c r="G6">
        <f t="shared" si="1"/>
        <v>19577.099999999999</v>
      </c>
      <c r="H6">
        <v>41.4</v>
      </c>
      <c r="I6" s="1">
        <f t="shared" si="0"/>
        <v>418371000.19676244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6302-E36A-0943-BF5A-59BEB2615D79}">
  <dimension ref="A1:I6"/>
  <sheetViews>
    <sheetView workbookViewId="0">
      <selection activeCell="B1" sqref="B1:I6"/>
    </sheetView>
  </sheetViews>
  <sheetFormatPr baseColWidth="10" defaultRowHeight="16" x14ac:dyDescent="0.2"/>
  <sheetData>
    <row r="1" spans="1:9" x14ac:dyDescent="0.2">
      <c r="A1" t="s">
        <v>0</v>
      </c>
      <c r="B1" t="s">
        <v>7</v>
      </c>
      <c r="C1" t="s">
        <v>6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8</v>
      </c>
    </row>
    <row r="2" spans="1:9" x14ac:dyDescent="0.2">
      <c r="A2">
        <v>4</v>
      </c>
      <c r="B2">
        <v>606.29999999999995</v>
      </c>
      <c r="C2">
        <v>148.5</v>
      </c>
      <c r="D2">
        <v>6.7</v>
      </c>
      <c r="E2">
        <v>2.2999999999999998</v>
      </c>
      <c r="F2">
        <v>3.44E-2</v>
      </c>
      <c r="G2">
        <f>(((104*30.5)+23.3-6.1+3.5+1.9-1.8-6.6+223+54)*2)+4.3+(6*30.4*104)</f>
        <v>25900.3</v>
      </c>
      <c r="H2">
        <v>41.4</v>
      </c>
      <c r="I2" s="1">
        <f t="shared" ref="I2:I6" si="0">(PI()*(((B2-C2)*G2*H2)/F2))/100</f>
        <v>448303731.8083182</v>
      </c>
    </row>
    <row r="3" spans="1:9" x14ac:dyDescent="0.2">
      <c r="B3">
        <v>550</v>
      </c>
      <c r="C3">
        <v>217.8</v>
      </c>
      <c r="D3">
        <v>2.5</v>
      </c>
      <c r="E3">
        <v>5</v>
      </c>
      <c r="F3">
        <v>2.75E-2</v>
      </c>
      <c r="G3">
        <f t="shared" ref="G3:G6" si="1">(((104*30.5)+23.3-6.1+3.5+1.9-1.8-6.6+223+54)*2)+4.3+(6*30.4*104)</f>
        <v>25900.3</v>
      </c>
      <c r="H3">
        <v>41.4</v>
      </c>
      <c r="I3" s="1">
        <f t="shared" si="0"/>
        <v>406932093.40412903</v>
      </c>
    </row>
    <row r="4" spans="1:9" x14ac:dyDescent="0.2">
      <c r="B4">
        <v>703.9</v>
      </c>
      <c r="C4">
        <v>192.5</v>
      </c>
      <c r="D4">
        <v>5.2</v>
      </c>
      <c r="E4">
        <v>6</v>
      </c>
      <c r="F4">
        <v>5.9799999999999999E-2</v>
      </c>
      <c r="G4">
        <f t="shared" si="1"/>
        <v>25900.3</v>
      </c>
      <c r="H4">
        <v>41.4</v>
      </c>
      <c r="I4" s="1">
        <f t="shared" si="0"/>
        <v>288080954.95868069</v>
      </c>
    </row>
    <row r="5" spans="1:9" x14ac:dyDescent="0.2">
      <c r="B5">
        <v>771.5</v>
      </c>
      <c r="C5">
        <v>172.1</v>
      </c>
      <c r="D5">
        <v>4.5</v>
      </c>
      <c r="E5">
        <v>8.8000000000000007</v>
      </c>
      <c r="F5">
        <v>5.57E-2</v>
      </c>
      <c r="G5">
        <f t="shared" si="1"/>
        <v>25900.3</v>
      </c>
      <c r="H5">
        <v>41.4</v>
      </c>
      <c r="I5" s="1">
        <f t="shared" si="0"/>
        <v>362507128.99407142</v>
      </c>
    </row>
    <row r="6" spans="1:9" x14ac:dyDescent="0.2">
      <c r="B6">
        <v>762.5</v>
      </c>
      <c r="C6">
        <v>171.5</v>
      </c>
      <c r="D6">
        <v>7.1</v>
      </c>
      <c r="E6">
        <v>0.2</v>
      </c>
      <c r="F6">
        <v>5.6899999999999999E-2</v>
      </c>
      <c r="G6">
        <f t="shared" si="1"/>
        <v>25900.3</v>
      </c>
      <c r="H6">
        <v>41.4</v>
      </c>
      <c r="I6" s="1">
        <f t="shared" si="0"/>
        <v>349888946.56862891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McAfee</dc:creator>
  <cp:lastModifiedBy>Kona Lindsey</cp:lastModifiedBy>
  <dcterms:created xsi:type="dcterms:W3CDTF">2022-02-01T18:26:34Z</dcterms:created>
  <dcterms:modified xsi:type="dcterms:W3CDTF">2022-02-11T02:08:50Z</dcterms:modified>
</cp:coreProperties>
</file>